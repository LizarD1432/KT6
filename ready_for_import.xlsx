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2"/>
  </bookViews>
  <sheets>
    <sheet name="points" sheetId="1" r:id="rId1"/>
    <sheet name="orders" sheetId="5" r:id="rId2"/>
    <sheet name="user" sheetId="7" r:id="rId3"/>
    <sheet name="items" sheetId="9" r:id="rId4"/>
    <sheet name="name" sheetId="14" r:id="rId5"/>
    <sheet name="quantityType" sheetId="13" r:id="rId6"/>
    <sheet name="category" sheetId="12" r:id="rId7"/>
    <sheet name="deliverer" sheetId="11" r:id="rId8"/>
    <sheet name="producer" sheetId="10" r:id="rId9"/>
    <sheet name="roles" sheetId="8" r:id="rId10"/>
    <sheet name="status" sheetId="6" r:id="rId11"/>
    <sheet name="city" sheetId="3" r:id="rId12"/>
    <sheet name="street" sheetId="4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2" i="7"/>
  <c r="M15" i="7"/>
  <c r="M14" i="7"/>
  <c r="M13" i="7"/>
  <c r="M12" i="7"/>
  <c r="M11" i="7"/>
  <c r="M10" i="7"/>
  <c r="M9" i="7"/>
  <c r="M8" i="7"/>
  <c r="M7" i="7"/>
  <c r="M6" i="7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2" i="9"/>
  <c r="B3" i="7"/>
  <c r="B4" i="7"/>
  <c r="B5" i="7"/>
  <c r="B6" i="7"/>
  <c r="B7" i="7"/>
  <c r="B8" i="7"/>
  <c r="B9" i="7"/>
  <c r="B10" i="7"/>
  <c r="B11" i="7"/>
  <c r="B2" i="7"/>
  <c r="J3" i="5"/>
  <c r="J4" i="5"/>
  <c r="J5" i="5"/>
  <c r="J6" i="5"/>
  <c r="J7" i="5"/>
  <c r="J8" i="5"/>
  <c r="J9" i="5"/>
  <c r="J10" i="5"/>
  <c r="J11" i="5"/>
  <c r="J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<sst xmlns="http://schemas.openxmlformats.org/spreadsheetml/2006/main" count="640" uniqueCount="241">
  <si>
    <t>id</t>
  </si>
  <si>
    <t xml:space="preserve"> ул. Чехова</t>
  </si>
  <si>
    <t>  ул. Степная</t>
  </si>
  <si>
    <t xml:space="preserve"> ул. Коммунистическая</t>
  </si>
  <si>
    <t xml:space="preserve"> ул. Солнечная</t>
  </si>
  <si>
    <t xml:space="preserve"> ул. Шоссейная</t>
  </si>
  <si>
    <t xml:space="preserve"> ул. Партизанская</t>
  </si>
  <si>
    <t xml:space="preserve"> ул. Победы</t>
  </si>
  <si>
    <t xml:space="preserve"> ул. Молодежная</t>
  </si>
  <si>
    <t xml:space="preserve"> ул. Новая</t>
  </si>
  <si>
    <t xml:space="preserve"> ул. Октябрьская</t>
  </si>
  <si>
    <t xml:space="preserve"> ул. Садовая</t>
  </si>
  <si>
    <t xml:space="preserve"> ул. Комсомольская</t>
  </si>
  <si>
    <t xml:space="preserve"> ул. Дзержинского</t>
  </si>
  <si>
    <t xml:space="preserve"> ул. Набережная</t>
  </si>
  <si>
    <t xml:space="preserve"> ул. Фрунзе</t>
  </si>
  <si>
    <t xml:space="preserve"> ул. Школьная</t>
  </si>
  <si>
    <t xml:space="preserve"> ул. 8 Марта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</si>
  <si>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</si>
  <si>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</si>
  <si>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</si>
  <si>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</si>
  <si>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Спортивная</t>
  </si>
  <si>
    <t xml:space="preserve"> ул. Гоголя</t>
  </si>
  <si>
    <t xml:space="preserve"> ул. Северная</t>
  </si>
  <si>
    <t xml:space="preserve"> ул. Вишневая</t>
  </si>
  <si>
    <t xml:space="preserve"> ул. Подгорная</t>
  </si>
  <si>
    <t xml:space="preserve"> ул. Полевая</t>
  </si>
  <si>
    <t xml:space="preserve"> ул. Некрасова</t>
  </si>
  <si>
    <t xml:space="preserve"> ул. Мичурина</t>
  </si>
  <si>
    <t>ул. Клубная</t>
  </si>
  <si>
    <t>index</t>
  </si>
  <si>
    <t>city</t>
  </si>
  <si>
    <t>street</t>
  </si>
  <si>
    <t>house</t>
  </si>
  <si>
    <t>NULL</t>
  </si>
  <si>
    <t>idCity</t>
  </si>
  <si>
    <t>idStreet</t>
  </si>
  <si>
    <t>streetName</t>
  </si>
  <si>
    <t>cityName</t>
  </si>
  <si>
    <t>г.Нефтеюганск</t>
  </si>
  <si>
    <t>Статус заказа</t>
  </si>
  <si>
    <t>А112Т4, 15, G453T5, 1</t>
  </si>
  <si>
    <t xml:space="preserve">Новый </t>
  </si>
  <si>
    <t>F432F4, 15, Y324F4, 15</t>
  </si>
  <si>
    <t>E532Q5, 10, T432F4, 10</t>
  </si>
  <si>
    <t>Завершен</t>
  </si>
  <si>
    <t>G345E4, 1, E345R4, 2</t>
  </si>
  <si>
    <t>R356F4, 1, E431R5, 10</t>
  </si>
  <si>
    <t>H436R4, 1, D643B5, 1</t>
  </si>
  <si>
    <t>H342F5, 2, Q245F5, 2</t>
  </si>
  <si>
    <t>K436T5, 1, V527T5, 1</t>
  </si>
  <si>
    <t>V527T5, 1, K452T5, 1</t>
  </si>
  <si>
    <t>M356R4, 1, W548O7, 1</t>
  </si>
  <si>
    <t>structure</t>
  </si>
  <si>
    <t>orderDate</t>
  </si>
  <si>
    <t>deliverDate</t>
  </si>
  <si>
    <t>point</t>
  </si>
  <si>
    <t>Шилова</t>
  </si>
  <si>
    <t>Майя</t>
  </si>
  <si>
    <t>Артемьевна</t>
  </si>
  <si>
    <t>Филимонов</t>
  </si>
  <si>
    <t>Роберт</t>
  </si>
  <si>
    <t>Васильевич</t>
  </si>
  <si>
    <t>Волкова</t>
  </si>
  <si>
    <t>Эмилия</t>
  </si>
  <si>
    <t>Артёмовна</t>
  </si>
  <si>
    <t>Чистякова</t>
  </si>
  <si>
    <t>Виктория</t>
  </si>
  <si>
    <t>Степановна</t>
  </si>
  <si>
    <t>lname</t>
  </si>
  <si>
    <t>fname</t>
  </si>
  <si>
    <t>patro</t>
  </si>
  <si>
    <t>code</t>
  </si>
  <si>
    <t>idStatus</t>
  </si>
  <si>
    <t>statusName</t>
  </si>
  <si>
    <t>Администратор</t>
  </si>
  <si>
    <t>pixil59@gmail.com</t>
  </si>
  <si>
    <t>2L6KZG</t>
  </si>
  <si>
    <t xml:space="preserve">deummecillummu-4992@mail.ru
</t>
  </si>
  <si>
    <t>uzWC67</t>
  </si>
  <si>
    <t>vilagajaunne-5170@yandex.ru</t>
  </si>
  <si>
    <t>8ntwUp</t>
  </si>
  <si>
    <t>Менеджер</t>
  </si>
  <si>
    <t>frusubroppotou656@yandex.ru</t>
  </si>
  <si>
    <t>YOyhfR</t>
  </si>
  <si>
    <t>leuttevitrafo1998@mail.ru</t>
  </si>
  <si>
    <t>RSbvHv</t>
  </si>
  <si>
    <t>frapreubrulloba1141@yandex.ru</t>
  </si>
  <si>
    <t>rwVDh9</t>
  </si>
  <si>
    <t>Клиент</t>
  </si>
  <si>
    <t>loudittoimmolau1900@gmail.com</t>
  </si>
  <si>
    <t>LdNyos</t>
  </si>
  <si>
    <t>hittuprofassa4984@mail.com</t>
  </si>
  <si>
    <t>gynQMT</t>
  </si>
  <si>
    <t>freineiciweijau888@yandex.ru</t>
  </si>
  <si>
    <t>AtnDjr</t>
  </si>
  <si>
    <t>nokupekidda2001@gmail.com</t>
  </si>
  <si>
    <t>JlFRCZ</t>
  </si>
  <si>
    <t>idRoles</t>
  </si>
  <si>
    <t>rolesName</t>
  </si>
  <si>
    <t>Суслов</t>
  </si>
  <si>
    <t>Илья</t>
  </si>
  <si>
    <t>Арсентьевич</t>
  </si>
  <si>
    <t>Яковлева</t>
  </si>
  <si>
    <t>Ярослава</t>
  </si>
  <si>
    <t>Даниэльевна</t>
  </si>
  <si>
    <t>Игнатьева</t>
  </si>
  <si>
    <t>Алина</t>
  </si>
  <si>
    <t>Михайловна</t>
  </si>
  <si>
    <t>Денисов</t>
  </si>
  <si>
    <t>Михаил</t>
  </si>
  <si>
    <t>Романович</t>
  </si>
  <si>
    <t>Тимофеев</t>
  </si>
  <si>
    <t>Елисеевич</t>
  </si>
  <si>
    <t>Соловьев</t>
  </si>
  <si>
    <t>Ярослав</t>
  </si>
  <si>
    <t>Маркович</t>
  </si>
  <si>
    <t>login</t>
  </si>
  <si>
    <t>password</t>
  </si>
  <si>
    <t>roles</t>
  </si>
  <si>
    <t>Единица измерения</t>
  </si>
  <si>
    <t>Стоимость</t>
  </si>
  <si>
    <t>Размер максимально возможной скидки</t>
  </si>
  <si>
    <t>Действующая скидка</t>
  </si>
  <si>
    <t>Кол-во на складе</t>
  </si>
  <si>
    <t>Описание</t>
  </si>
  <si>
    <t>Изображение</t>
  </si>
  <si>
    <t>А112Т4</t>
  </si>
  <si>
    <t>Лакомство</t>
  </si>
  <si>
    <t>шт.</t>
  </si>
  <si>
    <t>Dreames</t>
  </si>
  <si>
    <t>PetShop</t>
  </si>
  <si>
    <t>Товары для кошек</t>
  </si>
  <si>
    <t>Лакомство для кошек Dreamies Подушечки с курицей, 140 г</t>
  </si>
  <si>
    <t>А112Т4.png</t>
  </si>
  <si>
    <t>G453T5</t>
  </si>
  <si>
    <t>Щетка-варежка</t>
  </si>
  <si>
    <t>True Touch</t>
  </si>
  <si>
    <t>ZooMir</t>
  </si>
  <si>
    <t>Для животных</t>
  </si>
  <si>
    <t>Щетка-варежка True Touch для вычесывания шерсти, синий</t>
  </si>
  <si>
    <t>G453T5.jpg</t>
  </si>
  <si>
    <t>F432F4</t>
  </si>
  <si>
    <t>Сухой корм</t>
  </si>
  <si>
    <t>Pro Plan</t>
  </si>
  <si>
    <t>Сухой корм для кошек Pro Plan с чувствительным пищеварением</t>
  </si>
  <si>
    <t>F432F4.jpg</t>
  </si>
  <si>
    <t>Y324F4</t>
  </si>
  <si>
    <t>TitBit</t>
  </si>
  <si>
    <t>Товары для собак</t>
  </si>
  <si>
    <t>Лакомство для собак Titbit Косточки мясные с индейкой и ягненком, 145 г</t>
  </si>
  <si>
    <t>Y324F4.jpg</t>
  </si>
  <si>
    <t>E532Q5</t>
  </si>
  <si>
    <t>Лакомство для собак Titbit Печенье Био Десерт с лососем стандарт, 350 г</t>
  </si>
  <si>
    <t>E532Q5.jpg</t>
  </si>
  <si>
    <t>T432F4</t>
  </si>
  <si>
    <t>Chappy</t>
  </si>
  <si>
    <t>Сухой корм для собак Chappi говядина по-домашнему, с овощами</t>
  </si>
  <si>
    <t>T432F4.jpg</t>
  </si>
  <si>
    <t>G345E4</t>
  </si>
  <si>
    <t>Мячик</t>
  </si>
  <si>
    <t>LIKER</t>
  </si>
  <si>
    <t>Мячик для собак LIKER Мячик Лайкер (6294) оранжевый</t>
  </si>
  <si>
    <t>G345E4.jpg</t>
  </si>
  <si>
    <t>E345R4</t>
  </si>
  <si>
    <t>Игрушка</t>
  </si>
  <si>
    <t>Fancy Pets</t>
  </si>
  <si>
    <t>Игрушка для животных «Котик» с кошачьей мятой FANCY PETS</t>
  </si>
  <si>
    <t>E345R4.jpg</t>
  </si>
  <si>
    <t>R356F4</t>
  </si>
  <si>
    <t>Миска</t>
  </si>
  <si>
    <t>Nobby</t>
  </si>
  <si>
    <t>Миска Nobby с рисунком Dog для собак 130 мл красный</t>
  </si>
  <si>
    <t>R356F4.jpg</t>
  </si>
  <si>
    <t>E431R5</t>
  </si>
  <si>
    <t>Triol</t>
  </si>
  <si>
    <t>Лакомство для собак Triol Кость из жил 7.5 см, 4шт. в уп.</t>
  </si>
  <si>
    <t>E431R5.png</t>
  </si>
  <si>
    <t>D563F4</t>
  </si>
  <si>
    <t>Игрушка для собак Triol Бобер 41 см 12141053 бежевый</t>
  </si>
  <si>
    <t>H436R4</t>
  </si>
  <si>
    <t>Игрушка для собак Triol 3D плетение EC-04/12171005 бежевый</t>
  </si>
  <si>
    <t>D643B5</t>
  </si>
  <si>
    <t>Cat Chow</t>
  </si>
  <si>
    <t>Сухой корм для котят CAT CHOW с высоким содержанием домашней птицы</t>
  </si>
  <si>
    <t>H432F4</t>
  </si>
  <si>
    <t>Миска Triol 9002/KIDP3211/30261087 400 мл серебристый</t>
  </si>
  <si>
    <t>S245R4</t>
  </si>
  <si>
    <t>Сухой корм для кошек CAT CHOW</t>
  </si>
  <si>
    <t>V352R4</t>
  </si>
  <si>
    <t>Сухой корм для собак Chappi Мясное изобилие, мясное ассорти</t>
  </si>
  <si>
    <t>H342F5</t>
  </si>
  <si>
    <t>Игрушка для собак Triol Енот 41 см 12141063 серый</t>
  </si>
  <si>
    <t>Q245F5</t>
  </si>
  <si>
    <t>Игрушка для собак Triol Бобер 41 см 12141063 серый</t>
  </si>
  <si>
    <t>G542F5</t>
  </si>
  <si>
    <t>Сухой корм для собак Pro Plan при чувствительном пищеварении, ягненок</t>
  </si>
  <si>
    <t>H542R6</t>
  </si>
  <si>
    <t>Лакомство для собак Triol Мясные полоски из кролика, 70 г</t>
  </si>
  <si>
    <t>K436T5</t>
  </si>
  <si>
    <t>Мячик для собак Triol с косточками 12101096 желтый/зеленый</t>
  </si>
  <si>
    <t>V527T5</t>
  </si>
  <si>
    <t>Игрушка для собак Triol Ящерица 39 см коричневый</t>
  </si>
  <si>
    <t>K452T5</t>
  </si>
  <si>
    <t>Лежак</t>
  </si>
  <si>
    <t>ZooM</t>
  </si>
  <si>
    <t>Лежак для собак и кошек ZooM Lama 40х30х8 см бежевый</t>
  </si>
  <si>
    <t>E466T6</t>
  </si>
  <si>
    <t>Клетка</t>
  </si>
  <si>
    <t>Клетка для собак Triol 30671002 61х45.5х52 см серый/белый</t>
  </si>
  <si>
    <t>B427R5</t>
  </si>
  <si>
    <t>Миска для животных Triol "Стрекоза", 450 мл</t>
  </si>
  <si>
    <t>H643W2</t>
  </si>
  <si>
    <t>Миска Triol CB02/30231002 100 мл бежевый/голубой</t>
  </si>
  <si>
    <t>D356R4</t>
  </si>
  <si>
    <t>trixie</t>
  </si>
  <si>
    <t>Мячик для собак TRIXIE DentaFun (32942) зеленый / белый</t>
  </si>
  <si>
    <t>E434U6</t>
  </si>
  <si>
    <t>Лакомство для собак Titbit Лакомый кусочек Нарезка из говядины, 80 г</t>
  </si>
  <si>
    <t>M356R4</t>
  </si>
  <si>
    <t>Лакомство для собак Titbit Гематоген мясной Classic, 35 г</t>
  </si>
  <si>
    <t>W548O7</t>
  </si>
  <si>
    <t>Dog Chow</t>
  </si>
  <si>
    <t>Сухой корм для щенков DOG CHOW Puppy, ягненок 2.5 кг</t>
  </si>
  <si>
    <t>producer</t>
  </si>
  <si>
    <t>producerName</t>
  </si>
  <si>
    <t>idProducer</t>
  </si>
  <si>
    <t>delivererName</t>
  </si>
  <si>
    <t>idDeliverer</t>
  </si>
  <si>
    <t>deliverer</t>
  </si>
  <si>
    <t>category</t>
  </si>
  <si>
    <t>idCategory</t>
  </si>
  <si>
    <t>categoryName</t>
  </si>
  <si>
    <t>imageHolder</t>
  </si>
  <si>
    <t>article</t>
  </si>
  <si>
    <t>name</t>
  </si>
  <si>
    <t>idQuantity</t>
  </si>
  <si>
    <t>quantityTypeName</t>
  </si>
  <si>
    <t>idName</t>
  </si>
  <si>
    <t>itemName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</si>
</sst>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A2" sqref="A2:G37"/>
    </sheetView>
  </sheetViews>
  <sheetFormatPr defaultRowHeight="15"/>
  <cols>
    <col min="2" max="2" width="13.140625" customWidth="1"/>
    <col min="3" max="3" width="14.28515625" customWidth="1"/>
    <col min="4" max="4" width="26.85546875" hidden="1" customWidth="1"/>
    <col min="5" max="5" width="10" customWidth="1"/>
    <col min="6" max="6" width="22.28515625" hidden="1" customWidth="1"/>
  </cols>
  <sheetData>
    <row r="1" spans="1:7">
      <c r="A1" s="2" t="s">
        <v>0</v>
      </c>
      <c r="B1" s="2" t="s">
        <v>31</v>
      </c>
      <c r="C1" s="2" t="s">
        <v>36</v>
      </c>
      <c r="D1" s="2" t="s">
        <v>32</v>
      </c>
      <c r="E1" s="2" t="s">
        <v>37</v>
      </c>
      <c r="F1" s="2" t="s">
        <v>33</v>
      </c>
      <c r="G1" s="2" t="s">
        <v>34</v>
      </c>
    </row>
    <row r="2" spans="1:7" ht="15.75">
      <c r="A2">
        <v>1</v>
      </c>
      <c r="B2" s="1">
        <v>344288</v>
      </c>
      <c r="C2" s="1">
        <f>LOOKUP(D2:D37,city!$B$2,city!$A$2)</f>
        <v>1</v>
      </c>
      <c r="D2" t="s">
        <v>40</v>
      </c>
      <c r="E2">
        <f>LOOKUP(F2:F37,street!$B$2:$B$31,street!$A$2:$A$31)</f>
        <v>26</v>
      </c>
      <c r="F2" t="s">
        <v>1</v>
      </c>
      <c r="G2">
        <v>1</v>
      </c>
    </row>
    <row r="3" spans="1:7" ht="15.75">
      <c r="A3">
        <v>2</v>
      </c>
      <c r="B3" s="1">
        <v>614164</v>
      </c>
      <c r="C3" s="1">
        <f>LOOKUP(D3:D38,city!$B$2,city!$A$2)</f>
        <v>1</v>
      </c>
      <c r="D3" t="s">
        <v>40</v>
      </c>
      <c r="E3">
        <f>LOOKUP(F3:F38,street!$B$2:$B$31,street!$A$2:$A$31)</f>
        <v>29</v>
      </c>
      <c r="F3" t="s">
        <v>2</v>
      </c>
      <c r="G3">
        <v>30</v>
      </c>
    </row>
    <row r="4" spans="1:7" ht="15.75">
      <c r="A4">
        <v>3</v>
      </c>
      <c r="B4" s="1">
        <v>394242</v>
      </c>
      <c r="C4" s="1">
        <f>LOOKUP(D4:D39,city!$B$2,city!$A$2)</f>
        <v>1</v>
      </c>
      <c r="D4" t="s">
        <v>40</v>
      </c>
      <c r="E4">
        <f>LOOKUP(F4:F39,street!$B$2:$B$31,street!$A$2:$A$31)</f>
        <v>6</v>
      </c>
      <c r="F4" t="s">
        <v>3</v>
      </c>
      <c r="G4">
        <v>43</v>
      </c>
    </row>
    <row r="5" spans="1:7" ht="15.75">
      <c r="A5">
        <v>4</v>
      </c>
      <c r="B5" s="1">
        <v>660540</v>
      </c>
      <c r="C5" s="1">
        <f>LOOKUP(D5:D40,city!$B$2,city!$A$2)</f>
        <v>1</v>
      </c>
      <c r="D5" t="s">
        <v>40</v>
      </c>
      <c r="E5">
        <f>LOOKUP(F5:F40,street!$B$2:$B$31,street!$A$2:$A$31)</f>
        <v>22</v>
      </c>
      <c r="F5" t="s">
        <v>4</v>
      </c>
      <c r="G5">
        <v>25</v>
      </c>
    </row>
    <row r="6" spans="1:7" ht="15.75">
      <c r="A6">
        <v>5</v>
      </c>
      <c r="B6" s="1">
        <v>125837</v>
      </c>
      <c r="C6" s="1">
        <f>LOOKUP(D6:D41,city!$B$2,city!$A$2)</f>
        <v>1</v>
      </c>
      <c r="D6" t="s">
        <v>40</v>
      </c>
      <c r="E6">
        <f>LOOKUP(F6:F41,street!$B$2:$B$31,street!$A$2:$A$31)</f>
        <v>28</v>
      </c>
      <c r="F6" t="s">
        <v>5</v>
      </c>
      <c r="G6">
        <v>40</v>
      </c>
    </row>
    <row r="7" spans="1:7" ht="15.75">
      <c r="A7">
        <v>6</v>
      </c>
      <c r="B7" s="1">
        <v>125703</v>
      </c>
      <c r="C7" s="1">
        <f>LOOKUP(D7:D42,city!$B$2,city!$A$2)</f>
        <v>1</v>
      </c>
      <c r="D7" t="s">
        <v>40</v>
      </c>
      <c r="E7">
        <f>LOOKUP(F7:F42,street!$B$2:$B$31,street!$A$2:$A$31)</f>
        <v>15</v>
      </c>
      <c r="F7" t="s">
        <v>6</v>
      </c>
      <c r="G7">
        <v>49</v>
      </c>
    </row>
    <row r="8" spans="1:7" ht="15.75">
      <c r="A8">
        <v>7</v>
      </c>
      <c r="B8" s="1">
        <v>625283</v>
      </c>
      <c r="C8" s="1">
        <f>LOOKUP(D8:D43,city!$B$2,city!$A$2)</f>
        <v>1</v>
      </c>
      <c r="D8" t="s">
        <v>40</v>
      </c>
      <c r="E8">
        <f>LOOKUP(F8:F43,street!$B$2:$B$31,street!$A$2:$A$31)</f>
        <v>16</v>
      </c>
      <c r="F8" t="s">
        <v>7</v>
      </c>
      <c r="G8">
        <v>46</v>
      </c>
    </row>
    <row r="9" spans="1:7" ht="15.75">
      <c r="A9">
        <v>8</v>
      </c>
      <c r="B9" s="1">
        <v>614611</v>
      </c>
      <c r="C9" s="1">
        <f>LOOKUP(D9:D44,city!$B$2,city!$A$2)</f>
        <v>1</v>
      </c>
      <c r="D9" t="s">
        <v>40</v>
      </c>
      <c r="E9">
        <f>LOOKUP(F9:F44,street!$B$2:$B$31,street!$A$2:$A$31)</f>
        <v>10</v>
      </c>
      <c r="F9" t="s">
        <v>8</v>
      </c>
      <c r="G9">
        <v>50</v>
      </c>
    </row>
    <row r="10" spans="1:7" ht="15.75">
      <c r="A10">
        <v>9</v>
      </c>
      <c r="B10" s="1">
        <v>454311</v>
      </c>
      <c r="C10" s="1">
        <f>LOOKUP(D10:D45,city!$B$2,city!$A$2)</f>
        <v>1</v>
      </c>
      <c r="D10" t="s">
        <v>40</v>
      </c>
      <c r="E10">
        <f>LOOKUP(F10:F45,street!$B$2:$B$31,street!$A$2:$A$31)</f>
        <v>13</v>
      </c>
      <c r="F10" t="s">
        <v>9</v>
      </c>
      <c r="G10">
        <v>19</v>
      </c>
    </row>
    <row r="11" spans="1:7" ht="15.75">
      <c r="A11">
        <v>10</v>
      </c>
      <c r="B11" s="1">
        <v>660007</v>
      </c>
      <c r="C11" s="1">
        <f>LOOKUP(D11:D46,city!$B$2,city!$A$2)</f>
        <v>1</v>
      </c>
      <c r="D11" t="s">
        <v>40</v>
      </c>
      <c r="E11">
        <f>LOOKUP(F11:F46,street!$B$2:$B$31,street!$A$2:$A$31)</f>
        <v>14</v>
      </c>
      <c r="F11" t="s">
        <v>10</v>
      </c>
      <c r="G11">
        <v>19</v>
      </c>
    </row>
    <row r="12" spans="1:7" ht="15.75">
      <c r="A12">
        <v>11</v>
      </c>
      <c r="B12" s="1">
        <v>603036</v>
      </c>
      <c r="C12" s="1">
        <f>LOOKUP(D12:D47,city!$B$2,city!$A$2)</f>
        <v>1</v>
      </c>
      <c r="D12" t="s">
        <v>40</v>
      </c>
      <c r="E12">
        <f>LOOKUP(F12:F47,street!$B$2:$B$31,street!$A$2:$A$31)</f>
        <v>19</v>
      </c>
      <c r="F12" t="s">
        <v>11</v>
      </c>
      <c r="G12">
        <v>4</v>
      </c>
    </row>
    <row r="13" spans="1:7" ht="15.75">
      <c r="A13">
        <v>12</v>
      </c>
      <c r="B13" s="1">
        <v>450983</v>
      </c>
      <c r="C13" s="1">
        <f>LOOKUP(D13:D48,city!$B$2,city!$A$2)</f>
        <v>1</v>
      </c>
      <c r="D13" t="s">
        <v>40</v>
      </c>
      <c r="E13">
        <f>LOOKUP(F13:F48,street!$B$2:$B$31,street!$A$2:$A$31)</f>
        <v>7</v>
      </c>
      <c r="F13" t="s">
        <v>12</v>
      </c>
      <c r="G13">
        <v>26</v>
      </c>
    </row>
    <row r="14" spans="1:7" ht="15.75">
      <c r="A14">
        <v>13</v>
      </c>
      <c r="B14" s="1">
        <v>394782</v>
      </c>
      <c r="C14" s="1">
        <f>LOOKUP(D14:D49,city!$B$2,city!$A$2)</f>
        <v>1</v>
      </c>
      <c r="D14" t="s">
        <v>40</v>
      </c>
      <c r="E14">
        <f>LOOKUP(F14:F49,street!$B$2:$B$31,street!$A$2:$A$31)</f>
        <v>26</v>
      </c>
      <c r="F14" t="s">
        <v>1</v>
      </c>
      <c r="G14">
        <v>3</v>
      </c>
    </row>
    <row r="15" spans="1:7" ht="15.75">
      <c r="A15">
        <v>14</v>
      </c>
      <c r="B15" s="1">
        <v>603002</v>
      </c>
      <c r="C15" s="1">
        <f>LOOKUP(D15:D50,city!$B$2,city!$A$2)</f>
        <v>1</v>
      </c>
      <c r="D15" t="s">
        <v>40</v>
      </c>
      <c r="E15">
        <f>LOOKUP(F15:F50,street!$B$2:$B$31,street!$A$2:$A$31)</f>
        <v>4</v>
      </c>
      <c r="F15" t="s">
        <v>13</v>
      </c>
      <c r="G15">
        <v>28</v>
      </c>
    </row>
    <row r="16" spans="1:7" ht="15.75">
      <c r="A16">
        <v>15</v>
      </c>
      <c r="B16" s="1">
        <v>450558</v>
      </c>
      <c r="C16" s="1">
        <f>LOOKUP(D16:D51,city!$B$2,city!$A$2)</f>
        <v>1</v>
      </c>
      <c r="D16" t="s">
        <v>40</v>
      </c>
      <c r="E16">
        <f>LOOKUP(F16:F51,street!$B$2:$B$31,street!$A$2:$A$31)</f>
        <v>11</v>
      </c>
      <c r="F16" t="s">
        <v>14</v>
      </c>
      <c r="G16">
        <v>30</v>
      </c>
    </row>
    <row r="17" spans="1:7" ht="15.75">
      <c r="A17">
        <v>16</v>
      </c>
      <c r="B17" s="1">
        <v>394060</v>
      </c>
      <c r="C17" s="1">
        <f>LOOKUP(D17:D52,city!$B$2,city!$A$2)</f>
        <v>1</v>
      </c>
      <c r="D17" t="s">
        <v>40</v>
      </c>
      <c r="E17">
        <f>LOOKUP(F17:F52,street!$B$2:$B$31,street!$A$2:$A$31)</f>
        <v>24</v>
      </c>
      <c r="F17" t="s">
        <v>15</v>
      </c>
      <c r="G17">
        <v>43</v>
      </c>
    </row>
    <row r="18" spans="1:7" ht="15.75">
      <c r="A18">
        <v>17</v>
      </c>
      <c r="B18" s="1">
        <v>410661</v>
      </c>
      <c r="C18" s="1">
        <f>LOOKUP(D18:D53,city!$B$2,city!$A$2)</f>
        <v>1</v>
      </c>
      <c r="D18" t="s">
        <v>40</v>
      </c>
      <c r="E18">
        <f>LOOKUP(F18:F53,street!$B$2:$B$31,street!$A$2:$A$31)</f>
        <v>27</v>
      </c>
      <c r="F18" t="s">
        <v>16</v>
      </c>
      <c r="G18">
        <v>50</v>
      </c>
    </row>
    <row r="19" spans="1:7" ht="15.75">
      <c r="A19">
        <v>18</v>
      </c>
      <c r="B19" s="1">
        <v>625590</v>
      </c>
      <c r="C19" s="1">
        <f>LOOKUP(D19:D54,city!$B$2,city!$A$2)</f>
        <v>1</v>
      </c>
      <c r="D19" t="s">
        <v>40</v>
      </c>
      <c r="E19">
        <f>LOOKUP(F19:F54,street!$B$2:$B$31,street!$A$2:$A$31)</f>
        <v>6</v>
      </c>
      <c r="F19" t="s">
        <v>3</v>
      </c>
      <c r="G19">
        <v>20</v>
      </c>
    </row>
    <row r="20" spans="1:7" ht="15.75">
      <c r="A20">
        <v>19</v>
      </c>
      <c r="B20" s="1">
        <v>625683</v>
      </c>
      <c r="C20" s="1">
        <f>LOOKUP(D20:D55,city!$B$2,city!$A$2)</f>
        <v>1</v>
      </c>
      <c r="D20" t="s">
        <v>40</v>
      </c>
      <c r="E20">
        <f>LOOKUP(F20:F55,street!$B$2:$B$31,street!$A$2:$A$31)</f>
        <v>1</v>
      </c>
      <c r="F20" t="s">
        <v>17</v>
      </c>
      <c r="G20" t="s">
        <v>35</v>
      </c>
    </row>
    <row r="21" spans="1:7" ht="15.75">
      <c r="A21">
        <v>20</v>
      </c>
      <c r="B21" s="1">
        <v>400562</v>
      </c>
      <c r="C21" s="1">
        <f>LOOKUP(D21:D56,city!$B$2,city!$A$2)</f>
        <v>1</v>
      </c>
      <c r="D21" t="s">
        <v>40</v>
      </c>
      <c r="E21">
        <f>LOOKUP(F21:F56,street!$B$2:$B$31,street!$A$2:$A$31)</f>
        <v>5</v>
      </c>
      <c r="F21" t="s">
        <v>18</v>
      </c>
      <c r="G21">
        <v>32</v>
      </c>
    </row>
    <row r="22" spans="1:7" ht="15.75">
      <c r="A22">
        <v>21</v>
      </c>
      <c r="B22" s="1">
        <v>614510</v>
      </c>
      <c r="C22" s="1">
        <f>LOOKUP(D22:D57,city!$B$2,city!$A$2)</f>
        <v>1</v>
      </c>
      <c r="D22" t="s">
        <v>40</v>
      </c>
      <c r="E22">
        <f>LOOKUP(F22:F57,street!$B$2:$B$31,street!$A$2:$A$31)</f>
        <v>8</v>
      </c>
      <c r="F22" t="s">
        <v>19</v>
      </c>
      <c r="G22">
        <v>47</v>
      </c>
    </row>
    <row r="23" spans="1:7" ht="15.75">
      <c r="A23">
        <v>22</v>
      </c>
      <c r="B23" s="1">
        <v>410542</v>
      </c>
      <c r="C23" s="1">
        <f>LOOKUP(D23:D58,city!$B$2,city!$A$2)</f>
        <v>1</v>
      </c>
      <c r="D23" t="s">
        <v>40</v>
      </c>
      <c r="E23">
        <f>LOOKUP(F23:F58,street!$B$2:$B$31,street!$A$2:$A$31)</f>
        <v>20</v>
      </c>
      <c r="F23" t="s">
        <v>20</v>
      </c>
      <c r="G23">
        <v>46</v>
      </c>
    </row>
    <row r="24" spans="1:7" ht="15.75">
      <c r="A24">
        <v>23</v>
      </c>
      <c r="B24" s="1">
        <v>620839</v>
      </c>
      <c r="C24" s="1">
        <f>LOOKUP(D24:D59,city!$B$2,city!$A$2)</f>
        <v>1</v>
      </c>
      <c r="D24" t="s">
        <v>40</v>
      </c>
      <c r="E24">
        <f>LOOKUP(F24:F59,street!$B$2:$B$31,street!$A$2:$A$31)</f>
        <v>25</v>
      </c>
      <c r="F24" t="s">
        <v>21</v>
      </c>
      <c r="G24">
        <v>8</v>
      </c>
    </row>
    <row r="25" spans="1:7" ht="15.75">
      <c r="A25">
        <v>24</v>
      </c>
      <c r="B25" s="1">
        <v>443890</v>
      </c>
      <c r="C25" s="1">
        <f>LOOKUP(D25:D60,city!$B$2,city!$A$2)</f>
        <v>1</v>
      </c>
      <c r="D25" t="s">
        <v>40</v>
      </c>
      <c r="E25">
        <f>LOOKUP(F25:F60,street!$B$2:$B$31,street!$A$2:$A$31)</f>
        <v>6</v>
      </c>
      <c r="F25" t="s">
        <v>3</v>
      </c>
      <c r="G25">
        <v>1</v>
      </c>
    </row>
    <row r="26" spans="1:7" ht="15.75">
      <c r="A26">
        <v>25</v>
      </c>
      <c r="B26" s="1">
        <v>603379</v>
      </c>
      <c r="C26" s="1">
        <f>LOOKUP(D26:D61,city!$B$2,city!$A$2)</f>
        <v>1</v>
      </c>
      <c r="D26" t="s">
        <v>40</v>
      </c>
      <c r="E26">
        <f>LOOKUP(F26:F61,street!$B$2:$B$31,street!$A$2:$A$31)</f>
        <v>23</v>
      </c>
      <c r="F26" t="s">
        <v>22</v>
      </c>
      <c r="G26">
        <v>46</v>
      </c>
    </row>
    <row r="27" spans="1:7" ht="15.75">
      <c r="A27">
        <v>26</v>
      </c>
      <c r="B27" s="1">
        <v>603721</v>
      </c>
      <c r="C27" s="1">
        <f>LOOKUP(D27:D62,city!$B$2,city!$A$2)</f>
        <v>1</v>
      </c>
      <c r="D27" t="s">
        <v>40</v>
      </c>
      <c r="E27">
        <f>LOOKUP(F27:F62,street!$B$2:$B$31,street!$A$2:$A$31)</f>
        <v>3</v>
      </c>
      <c r="F27" t="s">
        <v>23</v>
      </c>
      <c r="G27">
        <v>41</v>
      </c>
    </row>
    <row r="28" spans="1:7" ht="15.75">
      <c r="A28">
        <v>27</v>
      </c>
      <c r="B28" s="1">
        <v>410172</v>
      </c>
      <c r="C28" s="1">
        <f>LOOKUP(D28:D63,city!$B$2,city!$A$2)</f>
        <v>1</v>
      </c>
      <c r="D28" t="s">
        <v>40</v>
      </c>
      <c r="E28">
        <f>LOOKUP(F28:F63,street!$B$2:$B$31,street!$A$2:$A$31)</f>
        <v>21</v>
      </c>
      <c r="F28" t="s">
        <v>24</v>
      </c>
      <c r="G28">
        <v>13</v>
      </c>
    </row>
    <row r="29" spans="1:7" ht="15.75">
      <c r="A29">
        <v>28</v>
      </c>
      <c r="B29" s="1">
        <v>420151</v>
      </c>
      <c r="C29" s="1">
        <f>LOOKUP(D29:D64,city!$B$2,city!$A$2)</f>
        <v>1</v>
      </c>
      <c r="D29" t="s">
        <v>40</v>
      </c>
      <c r="E29">
        <f>LOOKUP(F29:F64,street!$B$2:$B$31,street!$A$2:$A$31)</f>
        <v>2</v>
      </c>
      <c r="F29" t="s">
        <v>25</v>
      </c>
      <c r="G29">
        <v>32</v>
      </c>
    </row>
    <row r="30" spans="1:7" ht="15.75">
      <c r="A30">
        <v>29</v>
      </c>
      <c r="B30" s="1">
        <v>125061</v>
      </c>
      <c r="C30" s="1">
        <f>LOOKUP(D30:D65,city!$B$2,city!$A$2)</f>
        <v>1</v>
      </c>
      <c r="D30" t="s">
        <v>40</v>
      </c>
      <c r="E30">
        <f>LOOKUP(F30:F65,street!$B$2:$B$31,street!$A$2:$A$31)</f>
        <v>17</v>
      </c>
      <c r="F30" t="s">
        <v>26</v>
      </c>
      <c r="G30">
        <v>8</v>
      </c>
    </row>
    <row r="31" spans="1:7" ht="15.75">
      <c r="A31">
        <v>30</v>
      </c>
      <c r="B31" s="1">
        <v>630370</v>
      </c>
      <c r="C31" s="1">
        <f>LOOKUP(D31:D66,city!$B$2,city!$A$2)</f>
        <v>1</v>
      </c>
      <c r="D31" t="s">
        <v>40</v>
      </c>
      <c r="E31">
        <f>LOOKUP(F31:F66,street!$B$2:$B$31,street!$A$2:$A$31)</f>
        <v>28</v>
      </c>
      <c r="F31" t="s">
        <v>5</v>
      </c>
      <c r="G31">
        <v>24</v>
      </c>
    </row>
    <row r="32" spans="1:7" ht="15.75">
      <c r="A32">
        <v>31</v>
      </c>
      <c r="B32" s="1">
        <v>614753</v>
      </c>
      <c r="C32" s="1">
        <f>LOOKUP(D32:D67,city!$B$2,city!$A$2)</f>
        <v>1</v>
      </c>
      <c r="D32" t="s">
        <v>40</v>
      </c>
      <c r="E32">
        <f>LOOKUP(F32:F67,street!$B$2:$B$31,street!$A$2:$A$31)</f>
        <v>18</v>
      </c>
      <c r="F32" t="s">
        <v>27</v>
      </c>
      <c r="G32">
        <v>35</v>
      </c>
    </row>
    <row r="33" spans="1:7" ht="15.75">
      <c r="A33">
        <v>32</v>
      </c>
      <c r="B33" s="1">
        <v>426030</v>
      </c>
      <c r="C33" s="1">
        <f>LOOKUP(D33:D68,city!$B$2,city!$A$2)</f>
        <v>1</v>
      </c>
      <c r="D33" t="s">
        <v>40</v>
      </c>
      <c r="E33">
        <f>LOOKUP(F33:F68,street!$B$2:$B$31,street!$A$2:$A$31)</f>
        <v>8</v>
      </c>
      <c r="F33" t="s">
        <v>19</v>
      </c>
      <c r="G33">
        <v>44</v>
      </c>
    </row>
    <row r="34" spans="1:7" ht="15.75">
      <c r="A34">
        <v>33</v>
      </c>
      <c r="B34" s="1">
        <v>450375</v>
      </c>
      <c r="C34" s="1">
        <f>LOOKUP(D34:D69,city!$B$2,city!$A$2)</f>
        <v>1</v>
      </c>
      <c r="D34" t="s">
        <v>40</v>
      </c>
      <c r="E34">
        <f>LOOKUP(F34:F69,street!$B$2:$B$31,street!$A$2:$A$31)</f>
        <v>30</v>
      </c>
      <c r="F34" t="s">
        <v>30</v>
      </c>
      <c r="G34">
        <v>44</v>
      </c>
    </row>
    <row r="35" spans="1:7" ht="15.75">
      <c r="A35">
        <v>34</v>
      </c>
      <c r="B35" s="1">
        <v>625560</v>
      </c>
      <c r="C35" s="1">
        <f>LOOKUP(D35:D70,city!$B$2,city!$A$2)</f>
        <v>1</v>
      </c>
      <c r="D35" t="s">
        <v>40</v>
      </c>
      <c r="E35">
        <f>LOOKUP(F35:F70,street!$B$2:$B$31,street!$A$2:$A$31)</f>
        <v>12</v>
      </c>
      <c r="F35" t="s">
        <v>28</v>
      </c>
      <c r="G35">
        <v>12</v>
      </c>
    </row>
    <row r="36" spans="1:7" ht="15.75">
      <c r="A36">
        <v>35</v>
      </c>
      <c r="B36" s="1">
        <v>630201</v>
      </c>
      <c r="C36" s="1">
        <f>LOOKUP(D36:D71,city!$B$2,city!$A$2)</f>
        <v>1</v>
      </c>
      <c r="D36" t="s">
        <v>40</v>
      </c>
      <c r="E36">
        <f>LOOKUP(F36:F71,street!$B$2:$B$31,street!$A$2:$A$31)</f>
        <v>7</v>
      </c>
      <c r="F36" t="s">
        <v>12</v>
      </c>
      <c r="G36">
        <v>17</v>
      </c>
    </row>
    <row r="37" spans="1:7" ht="15.75">
      <c r="A37">
        <v>36</v>
      </c>
      <c r="B37" s="1">
        <v>190949</v>
      </c>
      <c r="C37" s="1">
        <f>LOOKUP(D37:D72,city!$B$2,city!$A$2)</f>
        <v>1</v>
      </c>
      <c r="D37" t="s">
        <v>40</v>
      </c>
      <c r="E37">
        <f>LOOKUP(F37:F72,street!$B$2:$B$31,street!$A$2:$A$31)</f>
        <v>9</v>
      </c>
      <c r="F37" t="s">
        <v>29</v>
      </c>
      <c r="G37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2" sqref="A2:J11"/>
    </sheetView>
  </sheetViews>
  <sheetFormatPr defaultRowHeight="15"/>
  <cols>
    <col min="1" max="1" width="7.7109375" bestFit="1" customWidth="1"/>
    <col min="2" max="2" width="24.140625" bestFit="1" customWidth="1"/>
    <col min="3" max="3" width="11.85546875" bestFit="1" customWidth="1"/>
    <col min="4" max="4" width="14.85546875" customWidth="1"/>
    <col min="5" max="5" width="9" bestFit="1" customWidth="1"/>
    <col min="6" max="6" width="34" bestFit="1" customWidth="1"/>
    <col min="7" max="8" width="34" customWidth="1"/>
    <col min="9" max="9" width="8.28515625" bestFit="1" customWidth="1"/>
    <col min="10" max="10" width="15.85546875" customWidth="1"/>
    <col min="11" max="11" width="15.85546875" hidden="1" customWidth="1"/>
  </cols>
  <sheetData>
    <row r="1" spans="1:11" ht="31.5">
      <c r="A1" s="3" t="s">
        <v>0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41</v>
      </c>
    </row>
    <row r="2" spans="1:11" ht="15.75">
      <c r="A2" s="4">
        <v>1</v>
      </c>
      <c r="B2" s="4" t="s">
        <v>42</v>
      </c>
      <c r="C2" s="9">
        <v>44687</v>
      </c>
      <c r="D2" s="9">
        <v>44693</v>
      </c>
      <c r="E2" s="4">
        <v>25</v>
      </c>
      <c r="F2" s="6" t="s">
        <v>35</v>
      </c>
      <c r="G2" s="6" t="s">
        <v>35</v>
      </c>
      <c r="H2" s="6" t="s">
        <v>35</v>
      </c>
      <c r="I2" s="4">
        <v>601</v>
      </c>
      <c r="J2" s="4">
        <f>LOOKUP(K2:K11,status!$B$2:$B$3,status!$A$2:$A$3)</f>
        <v>2</v>
      </c>
      <c r="K2" s="5" t="s">
        <v>43</v>
      </c>
    </row>
    <row r="3" spans="1:11" ht="15.75">
      <c r="A3" s="5">
        <v>2</v>
      </c>
      <c r="B3" s="5" t="s">
        <v>44</v>
      </c>
      <c r="C3" s="9">
        <v>44687</v>
      </c>
      <c r="D3" s="9">
        <v>44693</v>
      </c>
      <c r="E3" s="5">
        <v>20</v>
      </c>
      <c r="F3" s="7" t="s">
        <v>35</v>
      </c>
      <c r="G3" s="7" t="s">
        <v>35</v>
      </c>
      <c r="H3" s="7" t="s">
        <v>35</v>
      </c>
      <c r="I3" s="5">
        <v>602</v>
      </c>
      <c r="J3" s="4">
        <f>LOOKUP(K3:K12,status!$B$2:$B$3,status!$A$2:$A$3)</f>
        <v>2</v>
      </c>
      <c r="K3" s="5" t="s">
        <v>43</v>
      </c>
    </row>
    <row r="4" spans="1:11" ht="15.75">
      <c r="A4" s="5">
        <v>3</v>
      </c>
      <c r="B4" s="5" t="s">
        <v>45</v>
      </c>
      <c r="C4" s="9">
        <v>44689</v>
      </c>
      <c r="D4" s="9">
        <v>44695</v>
      </c>
      <c r="E4" s="4">
        <v>22</v>
      </c>
      <c r="F4" s="8" t="s">
        <v>58</v>
      </c>
      <c r="G4" s="8" t="s">
        <v>59</v>
      </c>
      <c r="H4" s="8" t="s">
        <v>60</v>
      </c>
      <c r="I4" s="4">
        <v>603</v>
      </c>
      <c r="J4" s="4">
        <f>LOOKUP(K4:K13,status!$B$2:$B$3,status!$A$2:$A$3)</f>
        <v>1</v>
      </c>
      <c r="K4" s="5" t="s">
        <v>46</v>
      </c>
    </row>
    <row r="5" spans="1:11" ht="15.75">
      <c r="A5" s="5">
        <v>4</v>
      </c>
      <c r="B5" s="5" t="s">
        <v>47</v>
      </c>
      <c r="C5" s="9">
        <v>44689</v>
      </c>
      <c r="D5" s="9">
        <v>44695</v>
      </c>
      <c r="E5" s="5">
        <v>24</v>
      </c>
      <c r="F5" s="6" t="s">
        <v>35</v>
      </c>
      <c r="G5" s="6" t="s">
        <v>35</v>
      </c>
      <c r="H5" s="6" t="s">
        <v>35</v>
      </c>
      <c r="I5" s="5">
        <v>604</v>
      </c>
      <c r="J5" s="4">
        <f>LOOKUP(K5:K14,status!$B$2:$B$3,status!$A$2:$A$3)</f>
        <v>1</v>
      </c>
      <c r="K5" s="5" t="s">
        <v>46</v>
      </c>
    </row>
    <row r="6" spans="1:11" ht="15.75">
      <c r="A6" s="5">
        <v>5</v>
      </c>
      <c r="B6" s="5" t="s">
        <v>48</v>
      </c>
      <c r="C6" s="9">
        <v>44691</v>
      </c>
      <c r="D6" s="9">
        <v>44697</v>
      </c>
      <c r="E6" s="4">
        <v>25</v>
      </c>
      <c r="F6" s="6" t="s">
        <v>35</v>
      </c>
      <c r="G6" s="6" t="s">
        <v>35</v>
      </c>
      <c r="H6" s="6" t="s">
        <v>35</v>
      </c>
      <c r="I6" s="4">
        <v>605</v>
      </c>
      <c r="J6" s="4">
        <f>LOOKUP(K6:K15,status!$B$2:$B$3,status!$A$2:$A$3)</f>
        <v>1</v>
      </c>
      <c r="K6" s="5" t="s">
        <v>46</v>
      </c>
    </row>
    <row r="7" spans="1:11" ht="15.75">
      <c r="A7" s="5">
        <v>6</v>
      </c>
      <c r="B7" s="5" t="s">
        <v>49</v>
      </c>
      <c r="C7" s="9">
        <v>44692</v>
      </c>
      <c r="D7" s="9">
        <v>44698</v>
      </c>
      <c r="E7" s="5">
        <v>28</v>
      </c>
      <c r="F7" s="8" t="s">
        <v>61</v>
      </c>
      <c r="G7" s="8" t="s">
        <v>62</v>
      </c>
      <c r="H7" s="8" t="s">
        <v>63</v>
      </c>
      <c r="I7" s="5">
        <v>606</v>
      </c>
      <c r="J7" s="4">
        <f>LOOKUP(K7:K16,status!$B$2:$B$3,status!$A$2:$A$3)</f>
        <v>1</v>
      </c>
      <c r="K7" s="5" t="s">
        <v>46</v>
      </c>
    </row>
    <row r="8" spans="1:11" ht="15.75">
      <c r="A8" s="5">
        <v>7</v>
      </c>
      <c r="B8" s="5" t="s">
        <v>50</v>
      </c>
      <c r="C8" s="9">
        <v>44693</v>
      </c>
      <c r="D8" s="9">
        <v>44699</v>
      </c>
      <c r="E8" s="4">
        <v>36</v>
      </c>
      <c r="F8" s="7" t="s">
        <v>35</v>
      </c>
      <c r="G8" s="7" t="s">
        <v>35</v>
      </c>
      <c r="H8" s="7" t="s">
        <v>35</v>
      </c>
      <c r="I8" s="4">
        <v>607</v>
      </c>
      <c r="J8" s="4">
        <f>LOOKUP(K8:K17,status!$B$2:$B$3,status!$A$2:$A$3)</f>
        <v>2</v>
      </c>
      <c r="K8" s="5" t="s">
        <v>43</v>
      </c>
    </row>
    <row r="9" spans="1:11" ht="15.75">
      <c r="A9" s="5">
        <v>8</v>
      </c>
      <c r="B9" s="5" t="s">
        <v>51</v>
      </c>
      <c r="C9" s="9">
        <v>44694</v>
      </c>
      <c r="D9" s="9">
        <v>44700</v>
      </c>
      <c r="E9" s="5">
        <v>32</v>
      </c>
      <c r="F9" s="7" t="s">
        <v>35</v>
      </c>
      <c r="G9" s="7" t="s">
        <v>35</v>
      </c>
      <c r="H9" s="7" t="s">
        <v>35</v>
      </c>
      <c r="I9" s="5">
        <v>608</v>
      </c>
      <c r="J9" s="4">
        <f>LOOKUP(K9:K18,status!$B$2:$B$3,status!$A$2:$A$3)</f>
        <v>2</v>
      </c>
      <c r="K9" s="5" t="s">
        <v>43</v>
      </c>
    </row>
    <row r="10" spans="1:11" ht="15.75">
      <c r="A10" s="5">
        <v>9</v>
      </c>
      <c r="B10" s="5" t="s">
        <v>52</v>
      </c>
      <c r="C10" s="9">
        <v>44696</v>
      </c>
      <c r="D10" s="9">
        <v>44702</v>
      </c>
      <c r="E10" s="4">
        <v>34</v>
      </c>
      <c r="F10" s="8" t="s">
        <v>64</v>
      </c>
      <c r="G10" s="8" t="s">
        <v>65</v>
      </c>
      <c r="H10" s="8" t="s">
        <v>66</v>
      </c>
      <c r="I10" s="4">
        <v>609</v>
      </c>
      <c r="J10" s="4">
        <f>LOOKUP(K10:K19,status!$B$2:$B$3,status!$A$2:$A$3)</f>
        <v>2</v>
      </c>
      <c r="K10" s="5" t="s">
        <v>43</v>
      </c>
    </row>
    <row r="11" spans="1:11" ht="15.75">
      <c r="A11" s="5">
        <v>10</v>
      </c>
      <c r="B11" s="5" t="s">
        <v>53</v>
      </c>
      <c r="C11" s="9">
        <v>44696</v>
      </c>
      <c r="D11" s="9">
        <v>44702</v>
      </c>
      <c r="E11" s="5">
        <v>36</v>
      </c>
      <c r="F11" s="8" t="s">
        <v>67</v>
      </c>
      <c r="G11" s="8" t="s">
        <v>68</v>
      </c>
      <c r="H11" s="8" t="s">
        <v>69</v>
      </c>
      <c r="I11" s="5">
        <v>610</v>
      </c>
      <c r="J11" s="4">
        <f>LOOKUP(K11:K20,status!$B$2:$B$3,status!$A$2:$A$3)</f>
        <v>1</v>
      </c>
      <c r="K11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A2" sqref="A2:I11"/>
    </sheetView>
  </sheetViews>
  <sheetFormatPr defaultRowHeight="15"/>
  <cols>
    <col min="2" max="2" width="22.140625" customWidth="1"/>
    <col min="3" max="3" width="18.42578125" hidden="1" customWidth="1"/>
    <col min="4" max="4" width="34" bestFit="1" customWidth="1"/>
    <col min="5" max="6" width="34" customWidth="1"/>
    <col min="7" max="7" width="31.42578125" hidden="1" customWidth="1"/>
    <col min="8" max="8" width="31.42578125" customWidth="1"/>
    <col min="9" max="9" width="12.7109375" customWidth="1"/>
  </cols>
  <sheetData>
    <row r="1" spans="1:19" ht="15.75">
      <c r="A1" s="2" t="s">
        <v>0</v>
      </c>
      <c r="B1" s="2" t="s">
        <v>99</v>
      </c>
      <c r="C1" s="10" t="s">
        <v>120</v>
      </c>
      <c r="D1" s="10" t="s">
        <v>70</v>
      </c>
      <c r="E1" s="10" t="s">
        <v>71</v>
      </c>
      <c r="F1" s="10" t="s">
        <v>72</v>
      </c>
      <c r="G1" s="10" t="s">
        <v>118</v>
      </c>
      <c r="H1" s="10" t="s">
        <v>118</v>
      </c>
      <c r="I1" s="10" t="s">
        <v>119</v>
      </c>
    </row>
    <row r="2" spans="1:19" ht="15.75">
      <c r="A2">
        <v>1</v>
      </c>
      <c r="B2">
        <f>LOOKUP(C2:C11,roles!$B$2:$B$4,roles!$A$2:$A$4)</f>
        <v>1</v>
      </c>
      <c r="C2" s="11" t="s">
        <v>76</v>
      </c>
      <c r="D2" s="11" t="s">
        <v>101</v>
      </c>
      <c r="E2" s="11" t="s">
        <v>102</v>
      </c>
      <c r="F2" s="11" t="s">
        <v>103</v>
      </c>
      <c r="G2" s="12" t="s">
        <v>77</v>
      </c>
      <c r="H2" s="12" t="str">
        <f>CLEAN(G2)</f>
        <v>pixil59@gmail.com</v>
      </c>
      <c r="I2" s="11" t="s">
        <v>78</v>
      </c>
    </row>
    <row r="3" spans="1:19" ht="15.75">
      <c r="A3">
        <v>2</v>
      </c>
      <c r="B3">
        <f>LOOKUP(C3:C12,roles!$B$2:$B$4,roles!$A$2:$A$4)</f>
        <v>1</v>
      </c>
      <c r="C3" s="11" t="s">
        <v>76</v>
      </c>
      <c r="D3" s="11" t="s">
        <v>104</v>
      </c>
      <c r="E3" s="11" t="s">
        <v>105</v>
      </c>
      <c r="F3" s="11" t="s">
        <v>106</v>
      </c>
      <c r="G3" s="12" t="s">
        <v>79</v>
      </c>
      <c r="H3" s="12" t="str">
        <f t="shared" ref="H3:H11" si="0">CLEAN(G3)</f>
        <v>deummecillummu-4992@mail.ru</v>
      </c>
      <c r="I3" s="11" t="s">
        <v>80</v>
      </c>
    </row>
    <row r="4" spans="1:19" ht="15.75">
      <c r="A4">
        <v>3</v>
      </c>
      <c r="B4">
        <f>LOOKUP(C4:C13,roles!$B$2:$B$4,roles!$A$2:$A$4)</f>
        <v>1</v>
      </c>
      <c r="C4" s="11" t="s">
        <v>76</v>
      </c>
      <c r="D4" s="11" t="s">
        <v>107</v>
      </c>
      <c r="E4" s="11" t="s">
        <v>108</v>
      </c>
      <c r="F4" s="11" t="s">
        <v>109</v>
      </c>
      <c r="G4" s="12" t="s">
        <v>81</v>
      </c>
      <c r="H4" s="12" t="str">
        <f t="shared" si="0"/>
        <v>vilagajaunne-5170@yandex.ru</v>
      </c>
      <c r="I4" s="11" t="s">
        <v>82</v>
      </c>
    </row>
    <row r="5" spans="1:19" ht="15.75">
      <c r="A5">
        <v>4</v>
      </c>
      <c r="B5">
        <f>LOOKUP(C5:C14,roles!$B$2:$B$4,roles!$A$2:$A$4)</f>
        <v>3</v>
      </c>
      <c r="C5" s="11" t="s">
        <v>83</v>
      </c>
      <c r="D5" s="11" t="s">
        <v>110</v>
      </c>
      <c r="E5" s="11" t="s">
        <v>111</v>
      </c>
      <c r="F5" s="11" t="s">
        <v>112</v>
      </c>
      <c r="G5" s="12" t="s">
        <v>84</v>
      </c>
      <c r="H5" s="12" t="str">
        <f t="shared" si="0"/>
        <v>frusubroppotou656@yandex.ru</v>
      </c>
      <c r="I5" s="11" t="s">
        <v>85</v>
      </c>
    </row>
    <row r="6" spans="1:19" ht="15.75">
      <c r="A6">
        <v>5</v>
      </c>
      <c r="B6">
        <f>LOOKUP(C6:C15,roles!$B$2:$B$4,roles!$A$2:$A$4)</f>
        <v>3</v>
      </c>
      <c r="C6" s="11" t="s">
        <v>83</v>
      </c>
      <c r="D6" s="11" t="s">
        <v>113</v>
      </c>
      <c r="E6" s="11" t="s">
        <v>111</v>
      </c>
      <c r="F6" s="11" t="s">
        <v>114</v>
      </c>
      <c r="G6" s="12" t="s">
        <v>86</v>
      </c>
      <c r="H6" s="12" t="str">
        <f t="shared" si="0"/>
        <v>leuttevitrafo1998@mail.ru</v>
      </c>
      <c r="I6" s="11" t="s">
        <v>87</v>
      </c>
      <c r="L6">
        <v>1</v>
      </c>
      <c r="M6">
        <f>LOOKUP(N6:N15,roles!$B$2:$B$4,roles!$A$2:$A$4)</f>
        <v>1</v>
      </c>
      <c r="N6" s="11" t="s">
        <v>76</v>
      </c>
      <c r="O6" s="11" t="s">
        <v>101</v>
      </c>
      <c r="P6" s="11" t="s">
        <v>102</v>
      </c>
      <c r="Q6" s="11" t="s">
        <v>103</v>
      </c>
      <c r="R6" s="12" t="s">
        <v>77</v>
      </c>
      <c r="S6" s="11" t="s">
        <v>78</v>
      </c>
    </row>
    <row r="7" spans="1:19" ht="15.75">
      <c r="A7">
        <v>6</v>
      </c>
      <c r="B7">
        <f>LOOKUP(C7:C16,roles!$B$2:$B$4,roles!$A$2:$A$4)</f>
        <v>3</v>
      </c>
      <c r="C7" s="11" t="s">
        <v>83</v>
      </c>
      <c r="D7" s="11" t="s">
        <v>115</v>
      </c>
      <c r="E7" s="11" t="s">
        <v>116</v>
      </c>
      <c r="F7" s="11" t="s">
        <v>117</v>
      </c>
      <c r="G7" s="12" t="s">
        <v>88</v>
      </c>
      <c r="H7" s="12" t="str">
        <f t="shared" si="0"/>
        <v>frapreubrulloba1141@yandex.ru</v>
      </c>
      <c r="I7" s="11" t="s">
        <v>89</v>
      </c>
      <c r="L7">
        <v>2</v>
      </c>
      <c r="M7">
        <f>LOOKUP(N7:N16,roles!$B$2:$B$4,roles!$A$2:$A$4)</f>
        <v>1</v>
      </c>
      <c r="N7" s="11" t="s">
        <v>76</v>
      </c>
      <c r="O7" s="11" t="s">
        <v>104</v>
      </c>
      <c r="P7" s="11" t="s">
        <v>105</v>
      </c>
      <c r="Q7" s="11" t="s">
        <v>106</v>
      </c>
      <c r="R7" s="12" t="s">
        <v>79</v>
      </c>
      <c r="S7" s="11" t="s">
        <v>80</v>
      </c>
    </row>
    <row r="8" spans="1:19" ht="15.75">
      <c r="A8">
        <v>7</v>
      </c>
      <c r="B8">
        <f>LOOKUP(C8:C17,roles!$B$2:$B$4,roles!$A$2:$A$4)</f>
        <v>2</v>
      </c>
      <c r="C8" s="11" t="s">
        <v>90</v>
      </c>
      <c r="D8" s="11" t="s">
        <v>61</v>
      </c>
      <c r="E8" s="11" t="s">
        <v>62</v>
      </c>
      <c r="F8" s="11" t="s">
        <v>63</v>
      </c>
      <c r="G8" s="12" t="s">
        <v>91</v>
      </c>
      <c r="H8" s="12" t="str">
        <f t="shared" si="0"/>
        <v>loudittoimmolau1900@gmail.com</v>
      </c>
      <c r="I8" s="11" t="s">
        <v>92</v>
      </c>
      <c r="L8">
        <v>3</v>
      </c>
      <c r="M8">
        <f>LOOKUP(N8:N17,roles!$B$2:$B$4,roles!$A$2:$A$4)</f>
        <v>1</v>
      </c>
      <c r="N8" s="11" t="s">
        <v>76</v>
      </c>
      <c r="O8" s="11" t="s">
        <v>107</v>
      </c>
      <c r="P8" s="11" t="s">
        <v>108</v>
      </c>
      <c r="Q8" s="11" t="s">
        <v>109</v>
      </c>
      <c r="R8" s="12" t="s">
        <v>81</v>
      </c>
      <c r="S8" s="11" t="s">
        <v>82</v>
      </c>
    </row>
    <row r="9" spans="1:19" ht="15.75">
      <c r="A9">
        <v>8</v>
      </c>
      <c r="B9">
        <f>LOOKUP(C9:C18,roles!$B$2:$B$4,roles!$A$2:$A$4)</f>
        <v>2</v>
      </c>
      <c r="C9" s="11" t="s">
        <v>90</v>
      </c>
      <c r="D9" s="11" t="s">
        <v>58</v>
      </c>
      <c r="E9" s="11" t="s">
        <v>59</v>
      </c>
      <c r="F9" s="11" t="s">
        <v>60</v>
      </c>
      <c r="G9" s="12" t="s">
        <v>93</v>
      </c>
      <c r="H9" s="12" t="str">
        <f t="shared" si="0"/>
        <v>hittuprofassa4984@mail.com</v>
      </c>
      <c r="I9" s="11" t="s">
        <v>94</v>
      </c>
      <c r="L9">
        <v>4</v>
      </c>
      <c r="M9">
        <f>LOOKUP(N9:N18,roles!$B$2:$B$4,roles!$A$2:$A$4)</f>
        <v>3</v>
      </c>
      <c r="N9" s="11" t="s">
        <v>83</v>
      </c>
      <c r="O9" s="11" t="s">
        <v>110</v>
      </c>
      <c r="P9" s="11" t="s">
        <v>111</v>
      </c>
      <c r="Q9" s="11" t="s">
        <v>112</v>
      </c>
      <c r="R9" s="12" t="s">
        <v>84</v>
      </c>
      <c r="S9" s="11" t="s">
        <v>85</v>
      </c>
    </row>
    <row r="10" spans="1:19" ht="15.75">
      <c r="A10">
        <v>9</v>
      </c>
      <c r="B10">
        <f>LOOKUP(C10:C19,roles!$B$2:$B$4,roles!$A$2:$A$4)</f>
        <v>2</v>
      </c>
      <c r="C10" s="11" t="s">
        <v>90</v>
      </c>
      <c r="D10" s="11" t="s">
        <v>67</v>
      </c>
      <c r="E10" s="11" t="s">
        <v>68</v>
      </c>
      <c r="F10" s="11" t="s">
        <v>69</v>
      </c>
      <c r="G10" s="12" t="s">
        <v>95</v>
      </c>
      <c r="H10" s="12" t="str">
        <f t="shared" si="0"/>
        <v>freineiciweijau888@yandex.ru</v>
      </c>
      <c r="I10" s="11" t="s">
        <v>96</v>
      </c>
      <c r="L10">
        <v>5</v>
      </c>
      <c r="M10">
        <f>LOOKUP(N10:N19,roles!$B$2:$B$4,roles!$A$2:$A$4)</f>
        <v>3</v>
      </c>
      <c r="N10" s="11" t="s">
        <v>83</v>
      </c>
      <c r="O10" s="11" t="s">
        <v>113</v>
      </c>
      <c r="P10" s="11" t="s">
        <v>111</v>
      </c>
      <c r="Q10" s="11" t="s">
        <v>114</v>
      </c>
      <c r="R10" s="12" t="s">
        <v>86</v>
      </c>
      <c r="S10" s="11" t="s">
        <v>87</v>
      </c>
    </row>
    <row r="11" spans="1:19" ht="15.75">
      <c r="A11">
        <v>10</v>
      </c>
      <c r="B11">
        <f>LOOKUP(C11:C20,roles!$B$2:$B$4,roles!$A$2:$A$4)</f>
        <v>2</v>
      </c>
      <c r="C11" s="11" t="s">
        <v>90</v>
      </c>
      <c r="D11" s="11" t="s">
        <v>64</v>
      </c>
      <c r="E11" s="11" t="s">
        <v>65</v>
      </c>
      <c r="F11" s="11" t="s">
        <v>66</v>
      </c>
      <c r="G11" s="12" t="s">
        <v>97</v>
      </c>
      <c r="H11" s="12" t="str">
        <f t="shared" si="0"/>
        <v>nokupekidda2001@gmail.com</v>
      </c>
      <c r="I11" s="11" t="s">
        <v>98</v>
      </c>
      <c r="L11">
        <v>6</v>
      </c>
      <c r="M11">
        <f>LOOKUP(N11:N20,roles!$B$2:$B$4,roles!$A$2:$A$4)</f>
        <v>3</v>
      </c>
      <c r="N11" s="11" t="s">
        <v>83</v>
      </c>
      <c r="O11" s="11" t="s">
        <v>115</v>
      </c>
      <c r="P11" s="11" t="s">
        <v>116</v>
      </c>
      <c r="Q11" s="11" t="s">
        <v>117</v>
      </c>
      <c r="R11" s="12" t="s">
        <v>88</v>
      </c>
      <c r="S11" s="11" t="s">
        <v>89</v>
      </c>
    </row>
    <row r="12" spans="1:19" ht="15.75">
      <c r="L12">
        <v>7</v>
      </c>
      <c r="M12">
        <f>LOOKUP(N12:N21,roles!$B$2:$B$4,roles!$A$2:$A$4)</f>
        <v>2</v>
      </c>
      <c r="N12" s="11" t="s">
        <v>90</v>
      </c>
      <c r="O12" s="11" t="s">
        <v>61</v>
      </c>
      <c r="P12" s="11" t="s">
        <v>62</v>
      </c>
      <c r="Q12" s="11" t="s">
        <v>63</v>
      </c>
      <c r="R12" s="12" t="s">
        <v>91</v>
      </c>
      <c r="S12" s="11" t="s">
        <v>92</v>
      </c>
    </row>
    <row r="13" spans="1:19" ht="15.75">
      <c r="L13">
        <v>8</v>
      </c>
      <c r="M13">
        <f>LOOKUP(N13:N22,roles!$B$2:$B$4,roles!$A$2:$A$4)</f>
        <v>2</v>
      </c>
      <c r="N13" s="11" t="s">
        <v>90</v>
      </c>
      <c r="O13" s="11" t="s">
        <v>58</v>
      </c>
      <c r="P13" s="11" t="s">
        <v>59</v>
      </c>
      <c r="Q13" s="11" t="s">
        <v>60</v>
      </c>
      <c r="R13" s="12" t="s">
        <v>93</v>
      </c>
      <c r="S13" s="11" t="s">
        <v>94</v>
      </c>
    </row>
    <row r="14" spans="1:19" ht="15.75">
      <c r="L14">
        <v>9</v>
      </c>
      <c r="M14">
        <f>LOOKUP(N14:N23,roles!$B$2:$B$4,roles!$A$2:$A$4)</f>
        <v>2</v>
      </c>
      <c r="N14" s="11" t="s">
        <v>90</v>
      </c>
      <c r="O14" s="11" t="s">
        <v>67</v>
      </c>
      <c r="P14" s="11" t="s">
        <v>68</v>
      </c>
      <c r="Q14" s="11" t="s">
        <v>69</v>
      </c>
      <c r="R14" s="12" t="s">
        <v>95</v>
      </c>
      <c r="S14" s="11" t="s">
        <v>96</v>
      </c>
    </row>
    <row r="15" spans="1:19" ht="15.75">
      <c r="L15">
        <v>10</v>
      </c>
      <c r="M15">
        <f>LOOKUP(N15:N24,roles!$B$2:$B$4,roles!$A$2:$A$4)</f>
        <v>2</v>
      </c>
      <c r="N15" s="11" t="s">
        <v>90</v>
      </c>
      <c r="O15" s="11" t="s">
        <v>64</v>
      </c>
      <c r="P15" s="11" t="s">
        <v>65</v>
      </c>
      <c r="Q15" s="11" t="s">
        <v>66</v>
      </c>
      <c r="R15" s="12" t="s">
        <v>97</v>
      </c>
      <c r="S15" s="11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="40" zoomScaleNormal="40" workbookViewId="0">
      <selection activeCell="A2" sqref="A2:S31"/>
    </sheetView>
  </sheetViews>
  <sheetFormatPr defaultRowHeight="15"/>
  <cols>
    <col min="2" max="3" width="45.42578125" customWidth="1"/>
    <col min="4" max="4" width="45.42578125" hidden="1" customWidth="1"/>
    <col min="5" max="5" width="45.42578125" customWidth="1"/>
    <col min="6" max="6" width="45.42578125" hidden="1" customWidth="1"/>
    <col min="7" max="9" width="45.42578125" customWidth="1"/>
    <col min="10" max="10" width="45.42578125" hidden="1" customWidth="1"/>
    <col min="11" max="11" width="45.42578125" customWidth="1"/>
    <col min="12" max="12" width="45.42578125" hidden="1" customWidth="1"/>
    <col min="13" max="13" width="45.42578125" customWidth="1"/>
    <col min="14" max="14" width="45.42578125" hidden="1" customWidth="1"/>
    <col min="15" max="18" width="45.42578125" customWidth="1"/>
    <col min="19" max="19" width="14.140625" customWidth="1"/>
  </cols>
  <sheetData>
    <row r="1" spans="1:19" ht="15.75">
      <c r="A1" s="2" t="s">
        <v>0</v>
      </c>
      <c r="B1" s="3" t="s">
        <v>235</v>
      </c>
      <c r="C1" s="3" t="s">
        <v>239</v>
      </c>
      <c r="D1" s="3" t="s">
        <v>236</v>
      </c>
      <c r="E1" s="3" t="s">
        <v>237</v>
      </c>
      <c r="F1" s="3" t="s">
        <v>121</v>
      </c>
      <c r="G1" s="3" t="s">
        <v>122</v>
      </c>
      <c r="H1" s="3" t="s">
        <v>123</v>
      </c>
      <c r="I1" s="3" t="s">
        <v>227</v>
      </c>
      <c r="J1" s="3" t="s">
        <v>225</v>
      </c>
      <c r="K1" s="3" t="s">
        <v>229</v>
      </c>
      <c r="L1" s="3" t="s">
        <v>230</v>
      </c>
      <c r="M1" s="3" t="s">
        <v>232</v>
      </c>
      <c r="N1" s="3" t="s">
        <v>231</v>
      </c>
      <c r="O1" s="3" t="s">
        <v>124</v>
      </c>
      <c r="P1" s="3" t="s">
        <v>125</v>
      </c>
      <c r="Q1" s="3" t="s">
        <v>126</v>
      </c>
      <c r="R1" s="3" t="s">
        <v>127</v>
      </c>
      <c r="S1" s="13" t="s">
        <v>234</v>
      </c>
    </row>
    <row r="2" spans="1:19" ht="31.5">
      <c r="A2" s="8">
        <v>1</v>
      </c>
      <c r="B2" s="4" t="s">
        <v>128</v>
      </c>
      <c r="C2" s="4">
        <f>LOOKUP(D2:D31,name!$B$2:$B$9,name!$A$2:$A$9)</f>
        <v>3</v>
      </c>
      <c r="D2" s="4" t="s">
        <v>129</v>
      </c>
      <c r="E2" s="4">
        <f>LOOKUP(F2:F31,quantityType!$B$2,quantityType!$A$2)</f>
        <v>1</v>
      </c>
      <c r="F2" s="4" t="s">
        <v>130</v>
      </c>
      <c r="G2" s="4">
        <v>123</v>
      </c>
      <c r="H2" s="4">
        <v>30</v>
      </c>
      <c r="I2" s="4">
        <f>LOOKUP(J2:J31,producer!$B$2:$B$14,producer!$A$2:$A$14)</f>
        <v>4</v>
      </c>
      <c r="J2" s="4" t="s">
        <v>131</v>
      </c>
      <c r="K2" s="4">
        <f>LOOKUP(L2:L31,deliverer!$B$2:$B$3,deliverer!$A$2:$A$3)</f>
        <v>1</v>
      </c>
      <c r="L2" s="4" t="s">
        <v>132</v>
      </c>
      <c r="M2" s="4">
        <f>LOOKUP(N2:N31,category!$B$2:$B$4,category!$A$2:$A$4)</f>
        <v>2</v>
      </c>
      <c r="N2" s="4" t="s">
        <v>133</v>
      </c>
      <c r="O2" s="4">
        <v>3</v>
      </c>
      <c r="P2" s="4">
        <v>6</v>
      </c>
      <c r="Q2" s="4" t="s">
        <v>134</v>
      </c>
      <c r="R2" s="4" t="s">
        <v>135</v>
      </c>
      <c r="S2" s="8" t="s">
        <v>35</v>
      </c>
    </row>
    <row r="3" spans="1:19" ht="31.5">
      <c r="A3" s="8">
        <v>2</v>
      </c>
      <c r="B3" s="4" t="s">
        <v>136</v>
      </c>
      <c r="C3" s="4">
        <f>LOOKUP(D3:D32,name!$B$2:$B$9,name!$A$2:$A$9)</f>
        <v>8</v>
      </c>
      <c r="D3" s="4" t="s">
        <v>137</v>
      </c>
      <c r="E3" s="4">
        <f>LOOKUP(F3:F32,quantityType!$B$2,quantityType!$A$2)</f>
        <v>1</v>
      </c>
      <c r="F3" s="4" t="s">
        <v>130</v>
      </c>
      <c r="G3" s="4">
        <v>149</v>
      </c>
      <c r="H3" s="4">
        <v>15</v>
      </c>
      <c r="I3" s="4">
        <f>LOOKUP(J3:J32,producer!$B$2:$B$14,producer!$A$2:$A$14)</f>
        <v>12</v>
      </c>
      <c r="J3" s="4" t="s">
        <v>138</v>
      </c>
      <c r="K3" s="4">
        <f>LOOKUP(L3:L32,deliverer!$B$2:$B$3,deliverer!$A$2:$A$3)</f>
        <v>2</v>
      </c>
      <c r="L3" s="4" t="s">
        <v>139</v>
      </c>
      <c r="M3" s="4">
        <f>LOOKUP(N3:N32,category!$B$2:$B$4,category!$A$2:$A$4)</f>
        <v>1</v>
      </c>
      <c r="N3" s="4" t="s">
        <v>140</v>
      </c>
      <c r="O3" s="4">
        <v>2</v>
      </c>
      <c r="P3" s="4">
        <v>7</v>
      </c>
      <c r="Q3" s="4" t="s">
        <v>141</v>
      </c>
      <c r="R3" s="4" t="s">
        <v>142</v>
      </c>
      <c r="S3" s="8" t="s">
        <v>35</v>
      </c>
    </row>
    <row r="4" spans="1:19" ht="31.5">
      <c r="A4" s="8">
        <v>3</v>
      </c>
      <c r="B4" s="4" t="s">
        <v>143</v>
      </c>
      <c r="C4" s="4">
        <f>LOOKUP(D4:D33,name!$B$2:$B$9,name!$A$2:$A$9)</f>
        <v>7</v>
      </c>
      <c r="D4" s="4" t="s">
        <v>144</v>
      </c>
      <c r="E4" s="4">
        <f>LOOKUP(F4:F33,quantityType!$B$2,quantityType!$A$2)</f>
        <v>1</v>
      </c>
      <c r="F4" s="4" t="s">
        <v>130</v>
      </c>
      <c r="G4" s="4">
        <v>1200</v>
      </c>
      <c r="H4" s="4">
        <v>10</v>
      </c>
      <c r="I4" s="4">
        <f>LOOKUP(J4:J33,producer!$B$2:$B$14,producer!$A$2:$A$14)</f>
        <v>8</v>
      </c>
      <c r="J4" s="4" t="s">
        <v>145</v>
      </c>
      <c r="K4" s="4">
        <f>LOOKUP(L4:L33,deliverer!$B$2:$B$3,deliverer!$A$2:$A$3)</f>
        <v>2</v>
      </c>
      <c r="L4" s="4" t="s">
        <v>139</v>
      </c>
      <c r="M4" s="4">
        <f>LOOKUP(N4:N33,category!$B$2:$B$4,category!$A$2:$A$4)</f>
        <v>2</v>
      </c>
      <c r="N4" s="4" t="s">
        <v>133</v>
      </c>
      <c r="O4" s="4">
        <v>3</v>
      </c>
      <c r="P4" s="4">
        <v>15</v>
      </c>
      <c r="Q4" s="4" t="s">
        <v>146</v>
      </c>
      <c r="R4" s="4" t="s">
        <v>147</v>
      </c>
      <c r="S4" s="8" t="s">
        <v>35</v>
      </c>
    </row>
    <row r="5" spans="1:19" ht="31.5">
      <c r="A5" s="8">
        <v>4</v>
      </c>
      <c r="B5" s="4" t="s">
        <v>148</v>
      </c>
      <c r="C5" s="4">
        <f>LOOKUP(D5:D34,name!$B$2:$B$9,name!$A$2:$A$9)</f>
        <v>3</v>
      </c>
      <c r="D5" s="4" t="s">
        <v>129</v>
      </c>
      <c r="E5" s="4">
        <f>LOOKUP(F5:F34,quantityType!$B$2,quantityType!$A$2)</f>
        <v>1</v>
      </c>
      <c r="F5" s="4" t="s">
        <v>130</v>
      </c>
      <c r="G5" s="4">
        <v>86</v>
      </c>
      <c r="H5" s="4">
        <v>5</v>
      </c>
      <c r="I5" s="4">
        <f>LOOKUP(J5:J34,producer!$B$2:$B$14,producer!$A$2:$A$14)</f>
        <v>9</v>
      </c>
      <c r="J5" s="4" t="s">
        <v>149</v>
      </c>
      <c r="K5" s="4">
        <f>LOOKUP(L5:L34,deliverer!$B$2:$B$3,deliverer!$A$2:$A$3)</f>
        <v>1</v>
      </c>
      <c r="L5" s="4" t="s">
        <v>132</v>
      </c>
      <c r="M5" s="4">
        <f>LOOKUP(N5:N34,category!$B$2:$B$4,category!$A$2:$A$4)</f>
        <v>3</v>
      </c>
      <c r="N5" s="4" t="s">
        <v>150</v>
      </c>
      <c r="O5" s="4">
        <v>4</v>
      </c>
      <c r="P5" s="4">
        <v>17</v>
      </c>
      <c r="Q5" s="4" t="s">
        <v>151</v>
      </c>
      <c r="R5" s="4" t="s">
        <v>152</v>
      </c>
      <c r="S5" s="8" t="s">
        <v>35</v>
      </c>
    </row>
    <row r="6" spans="1:19" ht="31.5">
      <c r="A6" s="8">
        <v>5</v>
      </c>
      <c r="B6" s="4" t="s">
        <v>153</v>
      </c>
      <c r="C6" s="4">
        <f>LOOKUP(D6:D35,name!$B$2:$B$9,name!$A$2:$A$9)</f>
        <v>3</v>
      </c>
      <c r="D6" s="4" t="s">
        <v>129</v>
      </c>
      <c r="E6" s="4">
        <f>LOOKUP(F6:F35,quantityType!$B$2,quantityType!$A$2)</f>
        <v>1</v>
      </c>
      <c r="F6" s="4" t="s">
        <v>130</v>
      </c>
      <c r="G6" s="4">
        <v>166</v>
      </c>
      <c r="H6" s="4">
        <v>15</v>
      </c>
      <c r="I6" s="4">
        <f>LOOKUP(J6:J35,producer!$B$2:$B$14,producer!$A$2:$A$14)</f>
        <v>9</v>
      </c>
      <c r="J6" s="4" t="s">
        <v>149</v>
      </c>
      <c r="K6" s="4">
        <f>LOOKUP(L6:L35,deliverer!$B$2:$B$3,deliverer!$A$2:$A$3)</f>
        <v>1</v>
      </c>
      <c r="L6" s="4" t="s">
        <v>132</v>
      </c>
      <c r="M6" s="4">
        <f>LOOKUP(N6:N35,category!$B$2:$B$4,category!$A$2:$A$4)</f>
        <v>3</v>
      </c>
      <c r="N6" s="4" t="s">
        <v>150</v>
      </c>
      <c r="O6" s="4">
        <v>5</v>
      </c>
      <c r="P6" s="4">
        <v>18</v>
      </c>
      <c r="Q6" s="4" t="s">
        <v>154</v>
      </c>
      <c r="R6" s="4" t="s">
        <v>155</v>
      </c>
      <c r="S6" s="8" t="s">
        <v>35</v>
      </c>
    </row>
    <row r="7" spans="1:19" ht="31.5">
      <c r="A7" s="8">
        <v>6</v>
      </c>
      <c r="B7" s="4" t="s">
        <v>156</v>
      </c>
      <c r="C7" s="4">
        <f>LOOKUP(D7:D36,name!$B$2:$B$9,name!$A$2:$A$9)</f>
        <v>7</v>
      </c>
      <c r="D7" s="4" t="s">
        <v>144</v>
      </c>
      <c r="E7" s="4">
        <f>LOOKUP(F7:F36,quantityType!$B$2,quantityType!$A$2)</f>
        <v>1</v>
      </c>
      <c r="F7" s="4" t="s">
        <v>130</v>
      </c>
      <c r="G7" s="4">
        <v>1700</v>
      </c>
      <c r="H7" s="4">
        <v>25</v>
      </c>
      <c r="I7" s="4">
        <f>LOOKUP(J7:J36,producer!$B$2:$B$14,producer!$A$2:$A$14)</f>
        <v>2</v>
      </c>
      <c r="J7" s="4" t="s">
        <v>157</v>
      </c>
      <c r="K7" s="4">
        <f>LOOKUP(L7:L36,deliverer!$B$2:$B$3,deliverer!$A$2:$A$3)</f>
        <v>2</v>
      </c>
      <c r="L7" s="4" t="s">
        <v>139</v>
      </c>
      <c r="M7" s="4">
        <f>LOOKUP(N7:N36,category!$B$2:$B$4,category!$A$2:$A$4)</f>
        <v>3</v>
      </c>
      <c r="N7" s="4" t="s">
        <v>150</v>
      </c>
      <c r="O7" s="4">
        <v>2</v>
      </c>
      <c r="P7" s="4">
        <v>5</v>
      </c>
      <c r="Q7" s="4" t="s">
        <v>158</v>
      </c>
      <c r="R7" s="4" t="s">
        <v>159</v>
      </c>
      <c r="S7" s="8" t="s">
        <v>35</v>
      </c>
    </row>
    <row r="8" spans="1:19" ht="31.5">
      <c r="A8" s="8">
        <v>7</v>
      </c>
      <c r="B8" s="4" t="s">
        <v>160</v>
      </c>
      <c r="C8" s="4">
        <f>LOOKUP(D8:D37,name!$B$2:$B$9,name!$A$2:$A$9)</f>
        <v>6</v>
      </c>
      <c r="D8" s="4" t="s">
        <v>161</v>
      </c>
      <c r="E8" s="4">
        <f>LOOKUP(F8:F37,quantityType!$B$2,quantityType!$A$2)</f>
        <v>1</v>
      </c>
      <c r="F8" s="4" t="s">
        <v>130</v>
      </c>
      <c r="G8" s="4">
        <v>300</v>
      </c>
      <c r="H8" s="4">
        <v>5</v>
      </c>
      <c r="I8" s="4">
        <f>LOOKUP(J8:J37,producer!$B$2:$B$14,producer!$A$2:$A$14)</f>
        <v>6</v>
      </c>
      <c r="J8" s="4" t="s">
        <v>162</v>
      </c>
      <c r="K8" s="4">
        <f>LOOKUP(L8:L37,deliverer!$B$2:$B$3,deliverer!$A$2:$A$3)</f>
        <v>2</v>
      </c>
      <c r="L8" s="4" t="s">
        <v>139</v>
      </c>
      <c r="M8" s="4">
        <f>LOOKUP(N8:N37,category!$B$2:$B$4,category!$A$2:$A$4)</f>
        <v>3</v>
      </c>
      <c r="N8" s="4" t="s">
        <v>150</v>
      </c>
      <c r="O8" s="4">
        <v>3</v>
      </c>
      <c r="P8" s="4">
        <v>19</v>
      </c>
      <c r="Q8" s="4" t="s">
        <v>163</v>
      </c>
      <c r="R8" s="4" t="s">
        <v>164</v>
      </c>
      <c r="S8" s="8" t="s">
        <v>35</v>
      </c>
    </row>
    <row r="9" spans="1:19" ht="31.5">
      <c r="A9" s="8">
        <v>8</v>
      </c>
      <c r="B9" s="4" t="s">
        <v>165</v>
      </c>
      <c r="C9" s="4">
        <f>LOOKUP(D9:D38,name!$B$2:$B$9,name!$A$2:$A$9)</f>
        <v>1</v>
      </c>
      <c r="D9" s="4" t="s">
        <v>166</v>
      </c>
      <c r="E9" s="4">
        <f>LOOKUP(F9:F38,quantityType!$B$2,quantityType!$A$2)</f>
        <v>1</v>
      </c>
      <c r="F9" s="4" t="s">
        <v>130</v>
      </c>
      <c r="G9" s="4">
        <v>199</v>
      </c>
      <c r="H9" s="4">
        <v>5</v>
      </c>
      <c r="I9" s="4">
        <f>LOOKUP(J9:J38,producer!$B$2:$B$14,producer!$A$2:$A$14)</f>
        <v>5</v>
      </c>
      <c r="J9" s="4" t="s">
        <v>167</v>
      </c>
      <c r="K9" s="4">
        <f>LOOKUP(L9:L38,deliverer!$B$2:$B$3,deliverer!$A$2:$A$3)</f>
        <v>2</v>
      </c>
      <c r="L9" s="4" t="s">
        <v>139</v>
      </c>
      <c r="M9" s="4">
        <f>LOOKUP(N9:N38,category!$B$2:$B$4,category!$A$2:$A$4)</f>
        <v>2</v>
      </c>
      <c r="N9" s="4" t="s">
        <v>133</v>
      </c>
      <c r="O9" s="4">
        <v>5</v>
      </c>
      <c r="P9" s="4">
        <v>7</v>
      </c>
      <c r="Q9" s="4" t="s">
        <v>168</v>
      </c>
      <c r="R9" s="4" t="s">
        <v>169</v>
      </c>
      <c r="S9" s="8" t="s">
        <v>35</v>
      </c>
    </row>
    <row r="10" spans="1:19" ht="31.5">
      <c r="A10" s="8">
        <v>9</v>
      </c>
      <c r="B10" s="4" t="s">
        <v>170</v>
      </c>
      <c r="C10" s="4">
        <f>LOOKUP(D10:D39,name!$B$2:$B$9,name!$A$2:$A$9)</f>
        <v>5</v>
      </c>
      <c r="D10" s="4" t="s">
        <v>171</v>
      </c>
      <c r="E10" s="4">
        <f>LOOKUP(F10:F39,quantityType!$B$2,quantityType!$A$2)</f>
        <v>1</v>
      </c>
      <c r="F10" s="4" t="s">
        <v>130</v>
      </c>
      <c r="G10" s="4">
        <v>234</v>
      </c>
      <c r="H10" s="4">
        <v>10</v>
      </c>
      <c r="I10" s="4">
        <f>LOOKUP(J10:J39,producer!$B$2:$B$14,producer!$A$2:$A$14)</f>
        <v>7</v>
      </c>
      <c r="J10" s="4" t="s">
        <v>172</v>
      </c>
      <c r="K10" s="4">
        <f>LOOKUP(L10:L39,deliverer!$B$2:$B$3,deliverer!$A$2:$A$3)</f>
        <v>1</v>
      </c>
      <c r="L10" s="4" t="s">
        <v>132</v>
      </c>
      <c r="M10" s="4">
        <f>LOOKUP(N10:N39,category!$B$2:$B$4,category!$A$2:$A$4)</f>
        <v>3</v>
      </c>
      <c r="N10" s="4" t="s">
        <v>150</v>
      </c>
      <c r="O10" s="4">
        <v>3</v>
      </c>
      <c r="P10" s="4">
        <v>17</v>
      </c>
      <c r="Q10" s="4" t="s">
        <v>173</v>
      </c>
      <c r="R10" s="4" t="s">
        <v>174</v>
      </c>
      <c r="S10" s="8" t="s">
        <v>35</v>
      </c>
    </row>
    <row r="11" spans="1:19" ht="31.5">
      <c r="A11" s="8">
        <v>10</v>
      </c>
      <c r="B11" s="4" t="s">
        <v>175</v>
      </c>
      <c r="C11" s="4">
        <f>LOOKUP(D11:D40,name!$B$2:$B$9,name!$A$2:$A$9)</f>
        <v>3</v>
      </c>
      <c r="D11" s="4" t="s">
        <v>129</v>
      </c>
      <c r="E11" s="4">
        <f>LOOKUP(F11:F40,quantityType!$B$2,quantityType!$A$2)</f>
        <v>1</v>
      </c>
      <c r="F11" s="4" t="s">
        <v>130</v>
      </c>
      <c r="G11" s="4">
        <v>170</v>
      </c>
      <c r="H11" s="4">
        <v>5</v>
      </c>
      <c r="I11" s="4">
        <f>LOOKUP(J11:J40,producer!$B$2:$B$14,producer!$A$2:$A$14)</f>
        <v>10</v>
      </c>
      <c r="J11" s="4" t="s">
        <v>176</v>
      </c>
      <c r="K11" s="4">
        <f>LOOKUP(L11:L40,deliverer!$B$2:$B$3,deliverer!$A$2:$A$3)</f>
        <v>2</v>
      </c>
      <c r="L11" s="4" t="s">
        <v>139</v>
      </c>
      <c r="M11" s="4">
        <f>LOOKUP(N11:N40,category!$B$2:$B$4,category!$A$2:$A$4)</f>
        <v>3</v>
      </c>
      <c r="N11" s="4" t="s">
        <v>150</v>
      </c>
      <c r="O11" s="4">
        <v>5</v>
      </c>
      <c r="P11" s="4">
        <v>5</v>
      </c>
      <c r="Q11" s="4" t="s">
        <v>177</v>
      </c>
      <c r="R11" s="4" t="s">
        <v>178</v>
      </c>
      <c r="S11" s="8" t="s">
        <v>35</v>
      </c>
    </row>
    <row r="12" spans="1:19" ht="31.5">
      <c r="A12" s="8">
        <v>11</v>
      </c>
      <c r="B12" s="4" t="s">
        <v>179</v>
      </c>
      <c r="C12" s="4">
        <f>LOOKUP(D12:D41,name!$B$2:$B$9,name!$A$2:$A$9)</f>
        <v>1</v>
      </c>
      <c r="D12" s="4" t="s">
        <v>166</v>
      </c>
      <c r="E12" s="4">
        <f>LOOKUP(F12:F41,quantityType!$B$2,quantityType!$A$2)</f>
        <v>1</v>
      </c>
      <c r="F12" s="4" t="s">
        <v>130</v>
      </c>
      <c r="G12" s="4">
        <v>600</v>
      </c>
      <c r="H12" s="4">
        <v>10</v>
      </c>
      <c r="I12" s="4">
        <f>LOOKUP(J12:J41,producer!$B$2:$B$14,producer!$A$2:$A$14)</f>
        <v>10</v>
      </c>
      <c r="J12" s="4" t="s">
        <v>176</v>
      </c>
      <c r="K12" s="4">
        <f>LOOKUP(L12:L41,deliverer!$B$2:$B$3,deliverer!$A$2:$A$3)</f>
        <v>1</v>
      </c>
      <c r="L12" s="4" t="s">
        <v>132</v>
      </c>
      <c r="M12" s="4">
        <f>LOOKUP(N12:N41,category!$B$2:$B$4,category!$A$2:$A$4)</f>
        <v>3</v>
      </c>
      <c r="N12" s="4" t="s">
        <v>150</v>
      </c>
      <c r="O12" s="4">
        <v>5</v>
      </c>
      <c r="P12" s="4">
        <v>5</v>
      </c>
      <c r="Q12" s="4" t="s">
        <v>180</v>
      </c>
      <c r="R12" s="4" t="s">
        <v>35</v>
      </c>
      <c r="S12" s="8" t="s">
        <v>35</v>
      </c>
    </row>
    <row r="13" spans="1:19" ht="31.5">
      <c r="A13" s="8">
        <v>12</v>
      </c>
      <c r="B13" s="4" t="s">
        <v>181</v>
      </c>
      <c r="C13" s="4">
        <f>LOOKUP(D13:D42,name!$B$2:$B$9,name!$A$2:$A$9)</f>
        <v>1</v>
      </c>
      <c r="D13" s="4" t="s">
        <v>166</v>
      </c>
      <c r="E13" s="4">
        <f>LOOKUP(F13:F42,quantityType!$B$2,quantityType!$A$2)</f>
        <v>1</v>
      </c>
      <c r="F13" s="4" t="s">
        <v>130</v>
      </c>
      <c r="G13" s="4">
        <v>300</v>
      </c>
      <c r="H13" s="4">
        <v>15</v>
      </c>
      <c r="I13" s="4">
        <f>LOOKUP(J13:J42,producer!$B$2:$B$14,producer!$A$2:$A$14)</f>
        <v>10</v>
      </c>
      <c r="J13" s="4" t="s">
        <v>176</v>
      </c>
      <c r="K13" s="4">
        <f>LOOKUP(L13:L42,deliverer!$B$2:$B$3,deliverer!$A$2:$A$3)</f>
        <v>1</v>
      </c>
      <c r="L13" s="4" t="s">
        <v>132</v>
      </c>
      <c r="M13" s="4">
        <f>LOOKUP(N13:N42,category!$B$2:$B$4,category!$A$2:$A$4)</f>
        <v>3</v>
      </c>
      <c r="N13" s="4" t="s">
        <v>150</v>
      </c>
      <c r="O13" s="4">
        <v>2</v>
      </c>
      <c r="P13" s="4">
        <v>15</v>
      </c>
      <c r="Q13" s="4" t="s">
        <v>182</v>
      </c>
      <c r="R13" s="4" t="s">
        <v>35</v>
      </c>
      <c r="S13" s="8" t="s">
        <v>35</v>
      </c>
    </row>
    <row r="14" spans="1:19" ht="31.5">
      <c r="A14" s="8">
        <v>13</v>
      </c>
      <c r="B14" s="4" t="s">
        <v>183</v>
      </c>
      <c r="C14" s="4">
        <f>LOOKUP(D14:D43,name!$B$2:$B$9,name!$A$2:$A$9)</f>
        <v>7</v>
      </c>
      <c r="D14" s="4" t="s">
        <v>144</v>
      </c>
      <c r="E14" s="4">
        <f>LOOKUP(F14:F43,quantityType!$B$2,quantityType!$A$2)</f>
        <v>1</v>
      </c>
      <c r="F14" s="4" t="s">
        <v>130</v>
      </c>
      <c r="G14" s="4">
        <v>4100</v>
      </c>
      <c r="H14" s="4">
        <v>30</v>
      </c>
      <c r="I14" s="4">
        <f>LOOKUP(J14:J43,producer!$B$2:$B$14,producer!$A$2:$A$14)</f>
        <v>1</v>
      </c>
      <c r="J14" s="4" t="s">
        <v>184</v>
      </c>
      <c r="K14" s="4">
        <f>LOOKUP(L14:L43,deliverer!$B$2:$B$3,deliverer!$A$2:$A$3)</f>
        <v>1</v>
      </c>
      <c r="L14" s="4" t="s">
        <v>132</v>
      </c>
      <c r="M14" s="4">
        <f>LOOKUP(N14:N43,category!$B$2:$B$4,category!$A$2:$A$4)</f>
        <v>2</v>
      </c>
      <c r="N14" s="4" t="s">
        <v>133</v>
      </c>
      <c r="O14" s="4">
        <v>4</v>
      </c>
      <c r="P14" s="4">
        <v>9</v>
      </c>
      <c r="Q14" s="4" t="s">
        <v>185</v>
      </c>
      <c r="R14" s="4" t="s">
        <v>35</v>
      </c>
      <c r="S14" s="8" t="s">
        <v>35</v>
      </c>
    </row>
    <row r="15" spans="1:19" ht="31.5">
      <c r="A15" s="8">
        <v>14</v>
      </c>
      <c r="B15" s="4" t="s">
        <v>186</v>
      </c>
      <c r="C15" s="4">
        <f>LOOKUP(D15:D44,name!$B$2:$B$9,name!$A$2:$A$9)</f>
        <v>5</v>
      </c>
      <c r="D15" s="4" t="s">
        <v>171</v>
      </c>
      <c r="E15" s="4">
        <f>LOOKUP(F15:F44,quantityType!$B$2,quantityType!$A$2)</f>
        <v>1</v>
      </c>
      <c r="F15" s="4" t="s">
        <v>130</v>
      </c>
      <c r="G15" s="4">
        <v>385</v>
      </c>
      <c r="H15" s="4">
        <v>10</v>
      </c>
      <c r="I15" s="4">
        <f>LOOKUP(J15:J44,producer!$B$2:$B$14,producer!$A$2:$A$14)</f>
        <v>10</v>
      </c>
      <c r="J15" s="4" t="s">
        <v>176</v>
      </c>
      <c r="K15" s="4">
        <f>LOOKUP(L15:L44,deliverer!$B$2:$B$3,deliverer!$A$2:$A$3)</f>
        <v>2</v>
      </c>
      <c r="L15" s="4" t="s">
        <v>139</v>
      </c>
      <c r="M15" s="4">
        <f>LOOKUP(N15:N44,category!$B$2:$B$4,category!$A$2:$A$4)</f>
        <v>1</v>
      </c>
      <c r="N15" s="4" t="s">
        <v>140</v>
      </c>
      <c r="O15" s="4">
        <v>2</v>
      </c>
      <c r="P15" s="4">
        <v>17</v>
      </c>
      <c r="Q15" s="4" t="s">
        <v>187</v>
      </c>
      <c r="R15" s="4" t="s">
        <v>35</v>
      </c>
      <c r="S15" s="8" t="s">
        <v>35</v>
      </c>
    </row>
    <row r="16" spans="1:19" ht="15.75">
      <c r="A16" s="8">
        <v>15</v>
      </c>
      <c r="B16" s="4" t="s">
        <v>188</v>
      </c>
      <c r="C16" s="4">
        <f>LOOKUP(D16:D45,name!$B$2:$B$9,name!$A$2:$A$9)</f>
        <v>7</v>
      </c>
      <c r="D16" s="4" t="s">
        <v>144</v>
      </c>
      <c r="E16" s="4">
        <f>LOOKUP(F16:F45,quantityType!$B$2,quantityType!$A$2)</f>
        <v>1</v>
      </c>
      <c r="F16" s="4" t="s">
        <v>130</v>
      </c>
      <c r="G16" s="4">
        <v>280</v>
      </c>
      <c r="H16" s="4">
        <v>15</v>
      </c>
      <c r="I16" s="4">
        <f>LOOKUP(J16:J45,producer!$B$2:$B$14,producer!$A$2:$A$14)</f>
        <v>1</v>
      </c>
      <c r="J16" s="4" t="s">
        <v>184</v>
      </c>
      <c r="K16" s="4">
        <f>LOOKUP(L16:L45,deliverer!$B$2:$B$3,deliverer!$A$2:$A$3)</f>
        <v>2</v>
      </c>
      <c r="L16" s="4" t="s">
        <v>139</v>
      </c>
      <c r="M16" s="4">
        <f>LOOKUP(N16:N45,category!$B$2:$B$4,category!$A$2:$A$4)</f>
        <v>2</v>
      </c>
      <c r="N16" s="4" t="s">
        <v>133</v>
      </c>
      <c r="O16" s="4">
        <v>3</v>
      </c>
      <c r="P16" s="4">
        <v>8</v>
      </c>
      <c r="Q16" s="4" t="s">
        <v>189</v>
      </c>
      <c r="R16" s="4" t="s">
        <v>35</v>
      </c>
      <c r="S16" s="8" t="s">
        <v>35</v>
      </c>
    </row>
    <row r="17" spans="1:19" ht="31.5">
      <c r="A17" s="8">
        <v>16</v>
      </c>
      <c r="B17" s="4" t="s">
        <v>190</v>
      </c>
      <c r="C17" s="4">
        <f>LOOKUP(D17:D46,name!$B$2:$B$9,name!$A$2:$A$9)</f>
        <v>7</v>
      </c>
      <c r="D17" s="4" t="s">
        <v>144</v>
      </c>
      <c r="E17" s="4">
        <f>LOOKUP(F17:F46,quantityType!$B$2,quantityType!$A$2)</f>
        <v>1</v>
      </c>
      <c r="F17" s="4" t="s">
        <v>130</v>
      </c>
      <c r="G17" s="4">
        <v>1700</v>
      </c>
      <c r="H17" s="4">
        <v>25</v>
      </c>
      <c r="I17" s="4">
        <f>LOOKUP(J17:J46,producer!$B$2:$B$14,producer!$A$2:$A$14)</f>
        <v>2</v>
      </c>
      <c r="J17" s="4" t="s">
        <v>157</v>
      </c>
      <c r="K17" s="4">
        <f>LOOKUP(L17:L46,deliverer!$B$2:$B$3,deliverer!$A$2:$A$3)</f>
        <v>1</v>
      </c>
      <c r="L17" s="4" t="s">
        <v>132</v>
      </c>
      <c r="M17" s="4">
        <f>LOOKUP(N17:N46,category!$B$2:$B$4,category!$A$2:$A$4)</f>
        <v>3</v>
      </c>
      <c r="N17" s="4" t="s">
        <v>150</v>
      </c>
      <c r="O17" s="4">
        <v>4</v>
      </c>
      <c r="P17" s="4">
        <v>9</v>
      </c>
      <c r="Q17" s="4" t="s">
        <v>191</v>
      </c>
      <c r="R17" s="4" t="s">
        <v>35</v>
      </c>
      <c r="S17" s="8" t="s">
        <v>35</v>
      </c>
    </row>
    <row r="18" spans="1:19" ht="31.5">
      <c r="A18" s="8">
        <v>17</v>
      </c>
      <c r="B18" s="4" t="s">
        <v>192</v>
      </c>
      <c r="C18" s="4">
        <f>LOOKUP(D18:D47,name!$B$2:$B$9,name!$A$2:$A$9)</f>
        <v>1</v>
      </c>
      <c r="D18" s="4" t="s">
        <v>166</v>
      </c>
      <c r="E18" s="4">
        <f>LOOKUP(F18:F47,quantityType!$B$2,quantityType!$A$2)</f>
        <v>1</v>
      </c>
      <c r="F18" s="4" t="s">
        <v>130</v>
      </c>
      <c r="G18" s="4">
        <v>510</v>
      </c>
      <c r="H18" s="4">
        <v>5</v>
      </c>
      <c r="I18" s="4">
        <f>LOOKUP(J18:J47,producer!$B$2:$B$14,producer!$A$2:$A$14)</f>
        <v>10</v>
      </c>
      <c r="J18" s="4" t="s">
        <v>176</v>
      </c>
      <c r="K18" s="4">
        <f>LOOKUP(L18:L47,deliverer!$B$2:$B$3,deliverer!$A$2:$A$3)</f>
        <v>2</v>
      </c>
      <c r="L18" s="4" t="s">
        <v>139</v>
      </c>
      <c r="M18" s="4">
        <f>LOOKUP(N18:N47,category!$B$2:$B$4,category!$A$2:$A$4)</f>
        <v>3</v>
      </c>
      <c r="N18" s="4" t="s">
        <v>150</v>
      </c>
      <c r="O18" s="4">
        <v>2</v>
      </c>
      <c r="P18" s="4">
        <v>17</v>
      </c>
      <c r="Q18" s="4" t="s">
        <v>193</v>
      </c>
      <c r="R18" s="4" t="s">
        <v>35</v>
      </c>
      <c r="S18" s="8" t="s">
        <v>35</v>
      </c>
    </row>
    <row r="19" spans="1:19" ht="31.5">
      <c r="A19" s="8">
        <v>18</v>
      </c>
      <c r="B19" s="4" t="s">
        <v>194</v>
      </c>
      <c r="C19" s="4">
        <f>LOOKUP(D19:D48,name!$B$2:$B$9,name!$A$2:$A$9)</f>
        <v>1</v>
      </c>
      <c r="D19" s="4" t="s">
        <v>166</v>
      </c>
      <c r="E19" s="4">
        <f>LOOKUP(F19:F48,quantityType!$B$2,quantityType!$A$2)</f>
        <v>1</v>
      </c>
      <c r="F19" s="4" t="s">
        <v>130</v>
      </c>
      <c r="G19" s="4">
        <v>510</v>
      </c>
      <c r="H19" s="4">
        <v>5</v>
      </c>
      <c r="I19" s="4">
        <f>LOOKUP(J19:J48,producer!$B$2:$B$14,producer!$A$2:$A$14)</f>
        <v>10</v>
      </c>
      <c r="J19" s="4" t="s">
        <v>176</v>
      </c>
      <c r="K19" s="4">
        <f>LOOKUP(L19:L48,deliverer!$B$2:$B$3,deliverer!$A$2:$A$3)</f>
        <v>2</v>
      </c>
      <c r="L19" s="4" t="s">
        <v>139</v>
      </c>
      <c r="M19" s="4">
        <f>LOOKUP(N19:N48,category!$B$2:$B$4,category!$A$2:$A$4)</f>
        <v>3</v>
      </c>
      <c r="N19" s="4" t="s">
        <v>150</v>
      </c>
      <c r="O19" s="4">
        <v>2</v>
      </c>
      <c r="P19" s="4">
        <v>17</v>
      </c>
      <c r="Q19" s="4" t="s">
        <v>195</v>
      </c>
      <c r="R19" s="4" t="s">
        <v>35</v>
      </c>
      <c r="S19" s="8" t="s">
        <v>35</v>
      </c>
    </row>
    <row r="20" spans="1:19" ht="31.5">
      <c r="A20" s="8">
        <v>19</v>
      </c>
      <c r="B20" s="4" t="s">
        <v>196</v>
      </c>
      <c r="C20" s="4">
        <f>LOOKUP(D20:D49,name!$B$2:$B$9,name!$A$2:$A$9)</f>
        <v>7</v>
      </c>
      <c r="D20" s="4" t="s">
        <v>144</v>
      </c>
      <c r="E20" s="4">
        <f>LOOKUP(F20:F49,quantityType!$B$2,quantityType!$A$2)</f>
        <v>1</v>
      </c>
      <c r="F20" s="4" t="s">
        <v>130</v>
      </c>
      <c r="G20" s="4">
        <v>2190</v>
      </c>
      <c r="H20" s="4">
        <v>30</v>
      </c>
      <c r="I20" s="4">
        <f>LOOKUP(J20:J49,producer!$B$2:$B$14,producer!$A$2:$A$14)</f>
        <v>8</v>
      </c>
      <c r="J20" s="4" t="s">
        <v>145</v>
      </c>
      <c r="K20" s="4">
        <f>LOOKUP(L20:L49,deliverer!$B$2:$B$3,deliverer!$A$2:$A$3)</f>
        <v>1</v>
      </c>
      <c r="L20" s="4" t="s">
        <v>132</v>
      </c>
      <c r="M20" s="4">
        <f>LOOKUP(N20:N49,category!$B$2:$B$4,category!$A$2:$A$4)</f>
        <v>3</v>
      </c>
      <c r="N20" s="4" t="s">
        <v>150</v>
      </c>
      <c r="O20" s="4">
        <v>4</v>
      </c>
      <c r="P20" s="4">
        <v>7</v>
      </c>
      <c r="Q20" s="4" t="s">
        <v>197</v>
      </c>
      <c r="R20" s="4" t="s">
        <v>35</v>
      </c>
      <c r="S20" s="8" t="s">
        <v>35</v>
      </c>
    </row>
    <row r="21" spans="1:19" ht="31.5">
      <c r="A21" s="8">
        <v>20</v>
      </c>
      <c r="B21" s="4" t="s">
        <v>198</v>
      </c>
      <c r="C21" s="4">
        <f>LOOKUP(D21:D50,name!$B$2:$B$9,name!$A$2:$A$9)</f>
        <v>3</v>
      </c>
      <c r="D21" s="4" t="s">
        <v>129</v>
      </c>
      <c r="E21" s="4">
        <f>LOOKUP(F21:F50,quantityType!$B$2,quantityType!$A$2)</f>
        <v>1</v>
      </c>
      <c r="F21" s="4" t="s">
        <v>130</v>
      </c>
      <c r="G21" s="4">
        <v>177</v>
      </c>
      <c r="H21" s="4">
        <v>15</v>
      </c>
      <c r="I21" s="4">
        <f>LOOKUP(J21:J50,producer!$B$2:$B$14,producer!$A$2:$A$14)</f>
        <v>10</v>
      </c>
      <c r="J21" s="4" t="s">
        <v>176</v>
      </c>
      <c r="K21" s="4">
        <f>LOOKUP(L21:L50,deliverer!$B$2:$B$3,deliverer!$A$2:$A$3)</f>
        <v>2</v>
      </c>
      <c r="L21" s="4" t="s">
        <v>139</v>
      </c>
      <c r="M21" s="4">
        <f>LOOKUP(N21:N50,category!$B$2:$B$4,category!$A$2:$A$4)</f>
        <v>3</v>
      </c>
      <c r="N21" s="4" t="s">
        <v>150</v>
      </c>
      <c r="O21" s="4">
        <v>3</v>
      </c>
      <c r="P21" s="4">
        <v>15</v>
      </c>
      <c r="Q21" s="4" t="s">
        <v>199</v>
      </c>
      <c r="R21" s="4" t="s">
        <v>35</v>
      </c>
      <c r="S21" s="8" t="s">
        <v>35</v>
      </c>
    </row>
    <row r="22" spans="1:19" ht="31.5">
      <c r="A22" s="8">
        <v>21</v>
      </c>
      <c r="B22" s="4" t="s">
        <v>200</v>
      </c>
      <c r="C22" s="4">
        <f>LOOKUP(D22:D51,name!$B$2:$B$9,name!$A$2:$A$9)</f>
        <v>6</v>
      </c>
      <c r="D22" s="4" t="s">
        <v>161</v>
      </c>
      <c r="E22" s="4">
        <f>LOOKUP(F22:F51,quantityType!$B$2,quantityType!$A$2)</f>
        <v>1</v>
      </c>
      <c r="F22" s="4" t="s">
        <v>130</v>
      </c>
      <c r="G22" s="4">
        <v>100</v>
      </c>
      <c r="H22" s="4">
        <v>5</v>
      </c>
      <c r="I22" s="4">
        <f>LOOKUP(J22:J51,producer!$B$2:$B$14,producer!$A$2:$A$14)</f>
        <v>10</v>
      </c>
      <c r="J22" s="4" t="s">
        <v>176</v>
      </c>
      <c r="K22" s="4">
        <f>LOOKUP(L22:L51,deliverer!$B$2:$B$3,deliverer!$A$2:$A$3)</f>
        <v>2</v>
      </c>
      <c r="L22" s="4" t="s">
        <v>139</v>
      </c>
      <c r="M22" s="4">
        <f>LOOKUP(N22:N51,category!$B$2:$B$4,category!$A$2:$A$4)</f>
        <v>3</v>
      </c>
      <c r="N22" s="4" t="s">
        <v>150</v>
      </c>
      <c r="O22" s="4">
        <v>4</v>
      </c>
      <c r="P22" s="4">
        <v>21</v>
      </c>
      <c r="Q22" s="4" t="s">
        <v>201</v>
      </c>
      <c r="R22" s="4" t="s">
        <v>35</v>
      </c>
      <c r="S22" s="8" t="s">
        <v>35</v>
      </c>
    </row>
    <row r="23" spans="1:19" ht="31.5">
      <c r="A23" s="8">
        <v>22</v>
      </c>
      <c r="B23" s="4" t="s">
        <v>202</v>
      </c>
      <c r="C23" s="4">
        <f>LOOKUP(D23:D52,name!$B$2:$B$9,name!$A$2:$A$9)</f>
        <v>1</v>
      </c>
      <c r="D23" s="4" t="s">
        <v>166</v>
      </c>
      <c r="E23" s="4">
        <f>LOOKUP(F23:F52,quantityType!$B$2,quantityType!$A$2)</f>
        <v>1</v>
      </c>
      <c r="F23" s="4" t="s">
        <v>130</v>
      </c>
      <c r="G23" s="4">
        <v>640</v>
      </c>
      <c r="H23" s="4">
        <v>5</v>
      </c>
      <c r="I23" s="4">
        <f>LOOKUP(J23:J52,producer!$B$2:$B$14,producer!$A$2:$A$14)</f>
        <v>10</v>
      </c>
      <c r="J23" s="4" t="s">
        <v>176</v>
      </c>
      <c r="K23" s="4">
        <f>LOOKUP(L23:L52,deliverer!$B$2:$B$3,deliverer!$A$2:$A$3)</f>
        <v>1</v>
      </c>
      <c r="L23" s="4" t="s">
        <v>132</v>
      </c>
      <c r="M23" s="4">
        <f>LOOKUP(N23:N52,category!$B$2:$B$4,category!$A$2:$A$4)</f>
        <v>3</v>
      </c>
      <c r="N23" s="4" t="s">
        <v>150</v>
      </c>
      <c r="O23" s="4">
        <v>5</v>
      </c>
      <c r="P23" s="4">
        <v>4</v>
      </c>
      <c r="Q23" s="4" t="s">
        <v>203</v>
      </c>
      <c r="R23" s="4" t="s">
        <v>35</v>
      </c>
      <c r="S23" s="8" t="s">
        <v>35</v>
      </c>
    </row>
    <row r="24" spans="1:19" ht="31.5">
      <c r="A24" s="8">
        <v>23</v>
      </c>
      <c r="B24" s="4" t="s">
        <v>204</v>
      </c>
      <c r="C24" s="4">
        <f>LOOKUP(D24:D53,name!$B$2:$B$9,name!$A$2:$A$9)</f>
        <v>4</v>
      </c>
      <c r="D24" s="4" t="s">
        <v>205</v>
      </c>
      <c r="E24" s="4">
        <f>LOOKUP(F24:F53,quantityType!$B$2,quantityType!$A$2)</f>
        <v>1</v>
      </c>
      <c r="F24" s="4" t="s">
        <v>130</v>
      </c>
      <c r="G24" s="4">
        <v>800</v>
      </c>
      <c r="H24" s="4">
        <v>25</v>
      </c>
      <c r="I24" s="4">
        <f>LOOKUP(J24:J53,producer!$B$2:$B$14,producer!$A$2:$A$14)</f>
        <v>13</v>
      </c>
      <c r="J24" s="4" t="s">
        <v>206</v>
      </c>
      <c r="K24" s="4">
        <f>LOOKUP(L24:L53,deliverer!$B$2:$B$3,deliverer!$A$2:$A$3)</f>
        <v>2</v>
      </c>
      <c r="L24" s="4" t="s">
        <v>139</v>
      </c>
      <c r="M24" s="4">
        <f>LOOKUP(N24:N53,category!$B$2:$B$4,category!$A$2:$A$4)</f>
        <v>3</v>
      </c>
      <c r="N24" s="4" t="s">
        <v>150</v>
      </c>
      <c r="O24" s="4">
        <v>2</v>
      </c>
      <c r="P24" s="4">
        <v>17</v>
      </c>
      <c r="Q24" s="4" t="s">
        <v>207</v>
      </c>
      <c r="R24" s="4" t="s">
        <v>35</v>
      </c>
      <c r="S24" s="8" t="s">
        <v>35</v>
      </c>
    </row>
    <row r="25" spans="1:19" ht="31.5">
      <c r="A25" s="8">
        <v>24</v>
      </c>
      <c r="B25" s="4" t="s">
        <v>208</v>
      </c>
      <c r="C25" s="4">
        <f>LOOKUP(D25:D54,name!$B$2:$B$9,name!$A$2:$A$9)</f>
        <v>2</v>
      </c>
      <c r="D25" s="4" t="s">
        <v>209</v>
      </c>
      <c r="E25" s="4">
        <f>LOOKUP(F25:F54,quantityType!$B$2,quantityType!$A$2)</f>
        <v>1</v>
      </c>
      <c r="F25" s="4" t="s">
        <v>130</v>
      </c>
      <c r="G25" s="4">
        <v>3500</v>
      </c>
      <c r="H25" s="4">
        <v>30</v>
      </c>
      <c r="I25" s="4">
        <f>LOOKUP(J25:J54,producer!$B$2:$B$14,producer!$A$2:$A$14)</f>
        <v>10</v>
      </c>
      <c r="J25" s="4" t="s">
        <v>176</v>
      </c>
      <c r="K25" s="4">
        <f>LOOKUP(L25:L54,deliverer!$B$2:$B$3,deliverer!$A$2:$A$3)</f>
        <v>2</v>
      </c>
      <c r="L25" s="4" t="s">
        <v>139</v>
      </c>
      <c r="M25" s="4">
        <f>LOOKUP(N25:N54,category!$B$2:$B$4,category!$A$2:$A$4)</f>
        <v>3</v>
      </c>
      <c r="N25" s="4" t="s">
        <v>150</v>
      </c>
      <c r="O25" s="4">
        <v>5</v>
      </c>
      <c r="P25" s="4">
        <v>3</v>
      </c>
      <c r="Q25" s="4" t="s">
        <v>210</v>
      </c>
      <c r="R25" s="4" t="s">
        <v>35</v>
      </c>
      <c r="S25" s="8" t="s">
        <v>35</v>
      </c>
    </row>
    <row r="26" spans="1:19" ht="31.5">
      <c r="A26" s="8">
        <v>25</v>
      </c>
      <c r="B26" s="4" t="s">
        <v>211</v>
      </c>
      <c r="C26" s="4">
        <f>LOOKUP(D26:D55,name!$B$2:$B$9,name!$A$2:$A$9)</f>
        <v>5</v>
      </c>
      <c r="D26" s="4" t="s">
        <v>171</v>
      </c>
      <c r="E26" s="4">
        <f>LOOKUP(F26:F55,quantityType!$B$2,quantityType!$A$2)</f>
        <v>1</v>
      </c>
      <c r="F26" s="4" t="s">
        <v>130</v>
      </c>
      <c r="G26" s="4">
        <v>400</v>
      </c>
      <c r="H26" s="4">
        <v>15</v>
      </c>
      <c r="I26" s="4">
        <f>LOOKUP(J26:J55,producer!$B$2:$B$14,producer!$A$2:$A$14)</f>
        <v>10</v>
      </c>
      <c r="J26" s="4" t="s">
        <v>176</v>
      </c>
      <c r="K26" s="4">
        <f>LOOKUP(L26:L55,deliverer!$B$2:$B$3,deliverer!$A$2:$A$3)</f>
        <v>2</v>
      </c>
      <c r="L26" s="4" t="s">
        <v>139</v>
      </c>
      <c r="M26" s="4">
        <f>LOOKUP(N26:N55,category!$B$2:$B$4,category!$A$2:$A$4)</f>
        <v>1</v>
      </c>
      <c r="N26" s="4" t="s">
        <v>140</v>
      </c>
      <c r="O26" s="4">
        <v>4</v>
      </c>
      <c r="P26" s="4">
        <v>5</v>
      </c>
      <c r="Q26" s="4" t="s">
        <v>212</v>
      </c>
      <c r="R26" s="4" t="s">
        <v>35</v>
      </c>
      <c r="S26" s="8" t="s">
        <v>35</v>
      </c>
    </row>
    <row r="27" spans="1:19" ht="31.5">
      <c r="A27" s="8">
        <v>26</v>
      </c>
      <c r="B27" s="4" t="s">
        <v>213</v>
      </c>
      <c r="C27" s="4">
        <f>LOOKUP(D27:D56,name!$B$2:$B$9,name!$A$2:$A$9)</f>
        <v>5</v>
      </c>
      <c r="D27" s="4" t="s">
        <v>171</v>
      </c>
      <c r="E27" s="4">
        <f>LOOKUP(F27:F56,quantityType!$B$2,quantityType!$A$2)</f>
        <v>1</v>
      </c>
      <c r="F27" s="4" t="s">
        <v>130</v>
      </c>
      <c r="G27" s="4">
        <v>292</v>
      </c>
      <c r="H27" s="4">
        <v>25</v>
      </c>
      <c r="I27" s="4">
        <f>LOOKUP(J27:J56,producer!$B$2:$B$14,producer!$A$2:$A$14)</f>
        <v>10</v>
      </c>
      <c r="J27" s="4" t="s">
        <v>176</v>
      </c>
      <c r="K27" s="4">
        <f>LOOKUP(L27:L56,deliverer!$B$2:$B$3,deliverer!$A$2:$A$3)</f>
        <v>1</v>
      </c>
      <c r="L27" s="4" t="s">
        <v>132</v>
      </c>
      <c r="M27" s="4">
        <f>LOOKUP(N27:N56,category!$B$2:$B$4,category!$A$2:$A$4)</f>
        <v>1</v>
      </c>
      <c r="N27" s="4" t="s">
        <v>140</v>
      </c>
      <c r="O27" s="4">
        <v>3</v>
      </c>
      <c r="P27" s="4">
        <v>13</v>
      </c>
      <c r="Q27" s="4" t="s">
        <v>214</v>
      </c>
      <c r="R27" s="4" t="s">
        <v>35</v>
      </c>
      <c r="S27" s="8" t="s">
        <v>35</v>
      </c>
    </row>
    <row r="28" spans="1:19" ht="31.5">
      <c r="A28" s="8">
        <v>27</v>
      </c>
      <c r="B28" s="4" t="s">
        <v>215</v>
      </c>
      <c r="C28" s="4">
        <f>LOOKUP(D28:D57,name!$B$2:$B$9,name!$A$2:$A$9)</f>
        <v>6</v>
      </c>
      <c r="D28" s="4" t="s">
        <v>161</v>
      </c>
      <c r="E28" s="4">
        <f>LOOKUP(F28:F57,quantityType!$B$2,quantityType!$A$2)</f>
        <v>1</v>
      </c>
      <c r="F28" s="4" t="s">
        <v>130</v>
      </c>
      <c r="G28" s="4">
        <v>600</v>
      </c>
      <c r="H28" s="4">
        <v>15</v>
      </c>
      <c r="I28" s="4">
        <f>LOOKUP(J28:J57,producer!$B$2:$B$14,producer!$A$2:$A$14)</f>
        <v>11</v>
      </c>
      <c r="J28" s="4" t="s">
        <v>216</v>
      </c>
      <c r="K28" s="4">
        <f>LOOKUP(L28:L57,deliverer!$B$2:$B$3,deliverer!$A$2:$A$3)</f>
        <v>1</v>
      </c>
      <c r="L28" s="4" t="s">
        <v>132</v>
      </c>
      <c r="M28" s="4">
        <f>LOOKUP(N28:N57,category!$B$2:$B$4,category!$A$2:$A$4)</f>
        <v>3</v>
      </c>
      <c r="N28" s="4" t="s">
        <v>150</v>
      </c>
      <c r="O28" s="4">
        <v>2</v>
      </c>
      <c r="P28" s="4">
        <v>16</v>
      </c>
      <c r="Q28" s="4" t="s">
        <v>217</v>
      </c>
      <c r="R28" s="4" t="s">
        <v>35</v>
      </c>
      <c r="S28" s="8" t="s">
        <v>35</v>
      </c>
    </row>
    <row r="29" spans="1:19" ht="31.5">
      <c r="A29" s="8">
        <v>28</v>
      </c>
      <c r="B29" s="4" t="s">
        <v>218</v>
      </c>
      <c r="C29" s="4">
        <f>LOOKUP(D29:D58,name!$B$2:$B$9,name!$A$2:$A$9)</f>
        <v>3</v>
      </c>
      <c r="D29" s="4" t="s">
        <v>129</v>
      </c>
      <c r="E29" s="4">
        <f>LOOKUP(F29:F58,quantityType!$B$2,quantityType!$A$2)</f>
        <v>1</v>
      </c>
      <c r="F29" s="4" t="s">
        <v>130</v>
      </c>
      <c r="G29" s="4">
        <v>140</v>
      </c>
      <c r="H29" s="4">
        <v>20</v>
      </c>
      <c r="I29" s="4">
        <f>LOOKUP(J29:J58,producer!$B$2:$B$14,producer!$A$2:$A$14)</f>
        <v>9</v>
      </c>
      <c r="J29" s="4" t="s">
        <v>149</v>
      </c>
      <c r="K29" s="4">
        <f>LOOKUP(L29:L58,deliverer!$B$2:$B$3,deliverer!$A$2:$A$3)</f>
        <v>2</v>
      </c>
      <c r="L29" s="4" t="s">
        <v>139</v>
      </c>
      <c r="M29" s="4">
        <f>LOOKUP(N29:N58,category!$B$2:$B$4,category!$A$2:$A$4)</f>
        <v>3</v>
      </c>
      <c r="N29" s="4" t="s">
        <v>150</v>
      </c>
      <c r="O29" s="4">
        <v>3</v>
      </c>
      <c r="P29" s="4">
        <v>19</v>
      </c>
      <c r="Q29" s="4" t="s">
        <v>219</v>
      </c>
      <c r="R29" s="4" t="s">
        <v>35</v>
      </c>
      <c r="S29" s="8" t="s">
        <v>35</v>
      </c>
    </row>
    <row r="30" spans="1:19" ht="31.5">
      <c r="A30" s="8">
        <v>29</v>
      </c>
      <c r="B30" s="4" t="s">
        <v>220</v>
      </c>
      <c r="C30" s="4">
        <f>LOOKUP(D30:D59,name!$B$2:$B$9,name!$A$2:$A$9)</f>
        <v>3</v>
      </c>
      <c r="D30" s="4" t="s">
        <v>129</v>
      </c>
      <c r="E30" s="4">
        <f>LOOKUP(F30:F59,quantityType!$B$2,quantityType!$A$2)</f>
        <v>1</v>
      </c>
      <c r="F30" s="4" t="s">
        <v>130</v>
      </c>
      <c r="G30" s="4">
        <v>50</v>
      </c>
      <c r="H30" s="4">
        <v>5</v>
      </c>
      <c r="I30" s="4">
        <f>LOOKUP(J30:J59,producer!$B$2:$B$14,producer!$A$2:$A$14)</f>
        <v>9</v>
      </c>
      <c r="J30" s="4" t="s">
        <v>149</v>
      </c>
      <c r="K30" s="4">
        <f>LOOKUP(L30:L59,deliverer!$B$2:$B$3,deliverer!$A$2:$A$3)</f>
        <v>2</v>
      </c>
      <c r="L30" s="4" t="s">
        <v>139</v>
      </c>
      <c r="M30" s="4">
        <f>LOOKUP(N30:N59,category!$B$2:$B$4,category!$A$2:$A$4)</f>
        <v>3</v>
      </c>
      <c r="N30" s="4" t="s">
        <v>150</v>
      </c>
      <c r="O30" s="4">
        <v>4</v>
      </c>
      <c r="P30" s="4">
        <v>6</v>
      </c>
      <c r="Q30" s="4" t="s">
        <v>221</v>
      </c>
      <c r="R30" s="4" t="s">
        <v>35</v>
      </c>
      <c r="S30" s="8" t="s">
        <v>35</v>
      </c>
    </row>
    <row r="31" spans="1:19" ht="31.5">
      <c r="A31" s="8">
        <v>30</v>
      </c>
      <c r="B31" s="4" t="s">
        <v>222</v>
      </c>
      <c r="C31" s="4">
        <f>LOOKUP(D31:D60,name!$B$2:$B$9,name!$A$2:$A$9)</f>
        <v>7</v>
      </c>
      <c r="D31" s="4" t="s">
        <v>144</v>
      </c>
      <c r="E31" s="4">
        <f>LOOKUP(F31:F60,quantityType!$B$2,quantityType!$A$2)</f>
        <v>1</v>
      </c>
      <c r="F31" s="4" t="s">
        <v>130</v>
      </c>
      <c r="G31" s="4">
        <v>600</v>
      </c>
      <c r="H31" s="4">
        <v>15</v>
      </c>
      <c r="I31" s="4">
        <f>LOOKUP(J31:J60,producer!$B$2:$B$14,producer!$A$2:$A$14)</f>
        <v>3</v>
      </c>
      <c r="J31" s="4" t="s">
        <v>223</v>
      </c>
      <c r="K31" s="4">
        <f>LOOKUP(L31:L60,deliverer!$B$2:$B$3,deliverer!$A$2:$A$3)</f>
        <v>1</v>
      </c>
      <c r="L31" s="4" t="s">
        <v>132</v>
      </c>
      <c r="M31" s="4">
        <f>LOOKUP(N31:N60,category!$B$2:$B$4,category!$A$2:$A$4)</f>
        <v>3</v>
      </c>
      <c r="N31" s="4" t="s">
        <v>150</v>
      </c>
      <c r="O31" s="4">
        <v>5</v>
      </c>
      <c r="P31" s="4">
        <v>15</v>
      </c>
      <c r="Q31" s="4" t="s">
        <v>224</v>
      </c>
      <c r="R31" s="4" t="s">
        <v>35</v>
      </c>
      <c r="S31" s="8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2" sqref="A2:B9"/>
    </sheetView>
  </sheetViews>
  <sheetFormatPr defaultRowHeight="15"/>
  <cols>
    <col min="2" max="2" width="18.5703125" customWidth="1"/>
  </cols>
  <sheetData>
    <row r="1" spans="1:2">
      <c r="A1" t="s">
        <v>0</v>
      </c>
      <c r="B1" t="s">
        <v>240</v>
      </c>
    </row>
    <row r="2" spans="1:2" ht="15.75">
      <c r="A2">
        <v>1</v>
      </c>
      <c r="B2" s="4" t="s">
        <v>166</v>
      </c>
    </row>
    <row r="3" spans="1:2" ht="15.75">
      <c r="A3">
        <v>2</v>
      </c>
      <c r="B3" s="4" t="s">
        <v>209</v>
      </c>
    </row>
    <row r="4" spans="1:2" ht="15.75">
      <c r="A4">
        <v>3</v>
      </c>
      <c r="B4" s="4" t="s">
        <v>129</v>
      </c>
    </row>
    <row r="5" spans="1:2" ht="15.75">
      <c r="A5">
        <v>4</v>
      </c>
      <c r="B5" s="4" t="s">
        <v>205</v>
      </c>
    </row>
    <row r="6" spans="1:2" ht="15.75">
      <c r="A6">
        <v>5</v>
      </c>
      <c r="B6" s="4" t="s">
        <v>171</v>
      </c>
    </row>
    <row r="7" spans="1:2" ht="15.75">
      <c r="A7">
        <v>6</v>
      </c>
      <c r="B7" s="4" t="s">
        <v>161</v>
      </c>
    </row>
    <row r="8" spans="1:2" ht="15.75">
      <c r="A8">
        <v>7</v>
      </c>
      <c r="B8" s="4" t="s">
        <v>144</v>
      </c>
    </row>
    <row r="9" spans="1:2" ht="15.75">
      <c r="A9">
        <v>8</v>
      </c>
      <c r="B9" s="4" t="s">
        <v>137</v>
      </c>
    </row>
  </sheetData>
  <sortState ref="A2:B31">
    <sortCondition ref="B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5"/>
  <cols>
    <col min="2" max="2" width="18.28515625" bestFit="1" customWidth="1"/>
  </cols>
  <sheetData>
    <row r="1" spans="1:2">
      <c r="A1" t="s">
        <v>0</v>
      </c>
      <c r="B1" t="s">
        <v>238</v>
      </c>
    </row>
    <row r="2" spans="1:2" ht="15.75">
      <c r="A2">
        <v>1</v>
      </c>
      <c r="B2" s="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4"/>
    </sheetView>
  </sheetViews>
  <sheetFormatPr defaultRowHeight="15"/>
  <cols>
    <col min="2" max="2" width="20.7109375" customWidth="1"/>
  </cols>
  <sheetData>
    <row r="1" spans="1:2">
      <c r="A1" t="s">
        <v>0</v>
      </c>
      <c r="B1" t="s">
        <v>233</v>
      </c>
    </row>
    <row r="2" spans="1:2" ht="15.75">
      <c r="A2">
        <v>1</v>
      </c>
      <c r="B2" s="4" t="s">
        <v>140</v>
      </c>
    </row>
    <row r="3" spans="1:2" ht="15.75">
      <c r="A3">
        <v>2</v>
      </c>
      <c r="B3" s="4" t="s">
        <v>133</v>
      </c>
    </row>
    <row r="4" spans="1:2" ht="15.75">
      <c r="A4">
        <v>3</v>
      </c>
      <c r="B4" s="4" t="s">
        <v>150</v>
      </c>
    </row>
  </sheetData>
  <sortState ref="B2:B4">
    <sortCondition ref="B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"/>
  <cols>
    <col min="2" max="2" width="14.5703125" bestFit="1" customWidth="1"/>
  </cols>
  <sheetData>
    <row r="1" spans="1:2">
      <c r="A1" t="s">
        <v>0</v>
      </c>
      <c r="B1" t="s">
        <v>228</v>
      </c>
    </row>
    <row r="2" spans="1:2" ht="15.75">
      <c r="A2">
        <v>1</v>
      </c>
      <c r="B2" s="4" t="s">
        <v>132</v>
      </c>
    </row>
    <row r="3" spans="1:2" ht="15.75">
      <c r="A3">
        <v>2</v>
      </c>
      <c r="B3" s="4" t="s">
        <v>139</v>
      </c>
    </row>
  </sheetData>
  <sortState ref="B2:B3">
    <sortCondition ref="B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2" sqref="A2:B14"/>
    </sheetView>
  </sheetViews>
  <sheetFormatPr defaultRowHeight="15"/>
  <cols>
    <col min="2" max="2" width="14.42578125" bestFit="1" customWidth="1"/>
  </cols>
  <sheetData>
    <row r="1" spans="1:2">
      <c r="A1" s="2" t="s">
        <v>0</v>
      </c>
      <c r="B1" s="2" t="s">
        <v>226</v>
      </c>
    </row>
    <row r="2" spans="1:2" ht="15.75">
      <c r="A2">
        <v>1</v>
      </c>
      <c r="B2" s="4" t="s">
        <v>184</v>
      </c>
    </row>
    <row r="3" spans="1:2" ht="15.75">
      <c r="A3">
        <v>2</v>
      </c>
      <c r="B3" s="4" t="s">
        <v>157</v>
      </c>
    </row>
    <row r="4" spans="1:2" ht="15.75">
      <c r="A4">
        <v>3</v>
      </c>
      <c r="B4" s="4" t="s">
        <v>223</v>
      </c>
    </row>
    <row r="5" spans="1:2" ht="15.75">
      <c r="A5">
        <v>4</v>
      </c>
      <c r="B5" s="4" t="s">
        <v>131</v>
      </c>
    </row>
    <row r="6" spans="1:2" ht="15.75">
      <c r="A6">
        <v>5</v>
      </c>
      <c r="B6" s="4" t="s">
        <v>167</v>
      </c>
    </row>
    <row r="7" spans="1:2" ht="15.75">
      <c r="A7">
        <v>6</v>
      </c>
      <c r="B7" s="4" t="s">
        <v>162</v>
      </c>
    </row>
    <row r="8" spans="1:2" ht="15.75">
      <c r="A8">
        <v>7</v>
      </c>
      <c r="B8" s="4" t="s">
        <v>172</v>
      </c>
    </row>
    <row r="9" spans="1:2" ht="15.75">
      <c r="A9">
        <v>8</v>
      </c>
      <c r="B9" s="4" t="s">
        <v>145</v>
      </c>
    </row>
    <row r="10" spans="1:2" ht="15.75">
      <c r="A10">
        <v>9</v>
      </c>
      <c r="B10" s="4" t="s">
        <v>149</v>
      </c>
    </row>
    <row r="11" spans="1:2" ht="15.75">
      <c r="A11">
        <v>10</v>
      </c>
      <c r="B11" s="4" t="s">
        <v>176</v>
      </c>
    </row>
    <row r="12" spans="1:2" ht="15.75">
      <c r="A12">
        <v>11</v>
      </c>
      <c r="B12" s="4" t="s">
        <v>216</v>
      </c>
    </row>
    <row r="13" spans="1:2" ht="15.75">
      <c r="A13">
        <v>12</v>
      </c>
      <c r="B13" s="4" t="s">
        <v>138</v>
      </c>
    </row>
    <row r="14" spans="1:2" ht="15.75">
      <c r="A14">
        <v>13</v>
      </c>
      <c r="B14" s="4" t="s">
        <v>206</v>
      </c>
    </row>
  </sheetData>
  <sortState ref="A2:B14">
    <sortCondition ref="B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"/>
  <cols>
    <col min="2" max="2" width="19.42578125" customWidth="1"/>
  </cols>
  <sheetData>
    <row r="1" spans="1:2">
      <c r="A1" s="2" t="s">
        <v>0</v>
      </c>
      <c r="B1" s="2" t="s">
        <v>100</v>
      </c>
    </row>
    <row r="2" spans="1:2" ht="15.75">
      <c r="A2">
        <v>1</v>
      </c>
      <c r="B2" s="11" t="s">
        <v>76</v>
      </c>
    </row>
    <row r="3" spans="1:2" ht="15.75">
      <c r="A3">
        <v>2</v>
      </c>
      <c r="B3" s="11" t="s">
        <v>90</v>
      </c>
    </row>
    <row r="4" spans="1:2" ht="15.75">
      <c r="A4">
        <v>3</v>
      </c>
      <c r="B4" s="11" t="s">
        <v>83</v>
      </c>
    </row>
  </sheetData>
  <sortState ref="B2:B4">
    <sortCondition ref="B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"/>
  <cols>
    <col min="2" max="2" width="11.5703125" bestFit="1" customWidth="1"/>
  </cols>
  <sheetData>
    <row r="1" spans="1:2">
      <c r="A1" t="s">
        <v>0</v>
      </c>
      <c r="B1" t="s">
        <v>75</v>
      </c>
    </row>
    <row r="2" spans="1:2" ht="15.75">
      <c r="A2">
        <v>1</v>
      </c>
      <c r="B2" s="5" t="s">
        <v>46</v>
      </c>
    </row>
    <row r="3" spans="1:2" ht="15.75">
      <c r="A3">
        <v>2</v>
      </c>
      <c r="B3" s="5" t="s">
        <v>43</v>
      </c>
    </row>
  </sheetData>
  <sortState ref="B2:B3">
    <sortCondition ref="B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5"/>
  <cols>
    <col min="2" max="2" width="15.28515625" bestFit="1" customWidth="1"/>
  </cols>
  <sheetData>
    <row r="1" spans="1:2">
      <c r="A1" s="2" t="s">
        <v>0</v>
      </c>
      <c r="B1" s="2" t="s">
        <v>39</v>
      </c>
    </row>
    <row r="2" spans="1:2">
      <c r="A2">
        <v>1</v>
      </c>
      <c r="B2" t="s">
        <v>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A2" sqref="A2:B31"/>
    </sheetView>
  </sheetViews>
  <sheetFormatPr defaultRowHeight="15"/>
  <cols>
    <col min="2" max="2" width="22.28515625" bestFit="1" customWidth="1"/>
  </cols>
  <sheetData>
    <row r="1" spans="1:2">
      <c r="A1" s="2" t="s">
        <v>0</v>
      </c>
      <c r="B1" s="2" t="s">
        <v>38</v>
      </c>
    </row>
    <row r="2" spans="1:2">
      <c r="A2">
        <v>1</v>
      </c>
      <c r="B2" t="s">
        <v>17</v>
      </c>
    </row>
    <row r="3" spans="1:2">
      <c r="A3">
        <v>2</v>
      </c>
      <c r="B3" t="s">
        <v>25</v>
      </c>
    </row>
    <row r="4" spans="1:2">
      <c r="A4">
        <v>3</v>
      </c>
      <c r="B4" t="s">
        <v>23</v>
      </c>
    </row>
    <row r="5" spans="1:2">
      <c r="A5">
        <v>4</v>
      </c>
      <c r="B5" t="s">
        <v>13</v>
      </c>
    </row>
    <row r="6" spans="1:2">
      <c r="A6">
        <v>5</v>
      </c>
      <c r="B6" t="s">
        <v>18</v>
      </c>
    </row>
    <row r="7" spans="1:2">
      <c r="A7">
        <v>6</v>
      </c>
      <c r="B7" t="s">
        <v>3</v>
      </c>
    </row>
    <row r="8" spans="1:2">
      <c r="A8">
        <v>7</v>
      </c>
      <c r="B8" t="s">
        <v>12</v>
      </c>
    </row>
    <row r="9" spans="1:2">
      <c r="A9">
        <v>8</v>
      </c>
      <c r="B9" t="s">
        <v>19</v>
      </c>
    </row>
    <row r="10" spans="1:2">
      <c r="A10">
        <v>9</v>
      </c>
      <c r="B10" t="s">
        <v>29</v>
      </c>
    </row>
    <row r="11" spans="1:2">
      <c r="A11">
        <v>10</v>
      </c>
      <c r="B11" t="s">
        <v>8</v>
      </c>
    </row>
    <row r="12" spans="1:2">
      <c r="A12">
        <v>11</v>
      </c>
      <c r="B12" t="s">
        <v>14</v>
      </c>
    </row>
    <row r="13" spans="1:2">
      <c r="A13">
        <v>12</v>
      </c>
      <c r="B13" t="s">
        <v>28</v>
      </c>
    </row>
    <row r="14" spans="1:2">
      <c r="A14">
        <v>13</v>
      </c>
      <c r="B14" t="s">
        <v>9</v>
      </c>
    </row>
    <row r="15" spans="1:2">
      <c r="A15">
        <v>14</v>
      </c>
      <c r="B15" t="s">
        <v>10</v>
      </c>
    </row>
    <row r="16" spans="1:2">
      <c r="A16">
        <v>15</v>
      </c>
      <c r="B16" t="s">
        <v>6</v>
      </c>
    </row>
    <row r="17" spans="1:2">
      <c r="A17">
        <v>16</v>
      </c>
      <c r="B17" t="s">
        <v>7</v>
      </c>
    </row>
    <row r="18" spans="1:2">
      <c r="A18">
        <v>17</v>
      </c>
      <c r="B18" t="s">
        <v>26</v>
      </c>
    </row>
    <row r="19" spans="1:2">
      <c r="A19">
        <v>18</v>
      </c>
      <c r="B19" t="s">
        <v>27</v>
      </c>
    </row>
    <row r="20" spans="1:2">
      <c r="A20">
        <v>19</v>
      </c>
      <c r="B20" t="s">
        <v>11</v>
      </c>
    </row>
    <row r="21" spans="1:2">
      <c r="A21">
        <v>20</v>
      </c>
      <c r="B21" t="s">
        <v>20</v>
      </c>
    </row>
    <row r="22" spans="1:2">
      <c r="A22">
        <v>21</v>
      </c>
      <c r="B22" t="s">
        <v>24</v>
      </c>
    </row>
    <row r="23" spans="1:2">
      <c r="A23">
        <v>22</v>
      </c>
      <c r="B23" t="s">
        <v>4</v>
      </c>
    </row>
    <row r="24" spans="1:2">
      <c r="A24">
        <v>23</v>
      </c>
      <c r="B24" t="s">
        <v>22</v>
      </c>
    </row>
    <row r="25" spans="1:2">
      <c r="A25">
        <v>24</v>
      </c>
      <c r="B25" t="s">
        <v>15</v>
      </c>
    </row>
    <row r="26" spans="1:2">
      <c r="A26">
        <v>25</v>
      </c>
      <c r="B26" t="s">
        <v>21</v>
      </c>
    </row>
    <row r="27" spans="1:2">
      <c r="A27">
        <v>26</v>
      </c>
      <c r="B27" t="s">
        <v>1</v>
      </c>
    </row>
    <row r="28" spans="1:2">
      <c r="A28">
        <v>27</v>
      </c>
      <c r="B28" t="s">
        <v>16</v>
      </c>
    </row>
    <row r="29" spans="1:2">
      <c r="A29">
        <v>28</v>
      </c>
      <c r="B29" t="s">
        <v>5</v>
      </c>
    </row>
    <row r="30" spans="1:2">
      <c r="A30">
        <v>29</v>
      </c>
      <c r="B30" t="s">
        <v>2</v>
      </c>
    </row>
    <row r="31" spans="1:2">
      <c r="A31">
        <v>30</v>
      </c>
      <c r="B31" t="s">
        <v>30</v>
      </c>
    </row>
  </sheetData>
  <sortState ref="A2:B31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points</vt:lpstr>
      <vt:lpstr>orders</vt:lpstr>
      <vt:lpstr>user</vt:lpstr>
      <vt:lpstr>items</vt:lpstr>
      <vt:lpstr>name</vt:lpstr>
      <vt:lpstr>quantityType</vt:lpstr>
      <vt:lpstr>category</vt:lpstr>
      <vt:lpstr>deliverer</vt:lpstr>
      <vt:lpstr>producer</vt:lpstr>
      <vt:lpstr>roles</vt:lpstr>
      <vt:lpstr>status</vt:lpstr>
      <vt:lpstr>city</vt:lpstr>
      <vt:lpstr>street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2025-02-07T11:43:23Z</dcterms:modified>
</cp:coreProperties>
</file>